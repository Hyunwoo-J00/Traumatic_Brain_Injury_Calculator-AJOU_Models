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6Month\Full\Original\"/>
    </mc:Choice>
  </mc:AlternateContent>
  <xr:revisionPtr revIDLastSave="0" documentId="13_ncr:1_{ACDD9C48-7843-4BC5-8943-B9B301CFE30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2" i="6"/>
</calcChain>
</file>

<file path=xl/sharedStrings.xml><?xml version="1.0" encoding="utf-8"?>
<sst xmlns="http://schemas.openxmlformats.org/spreadsheetml/2006/main" count="332" uniqueCount="186">
  <si>
    <t>Item</t>
  </si>
  <si>
    <t>Value</t>
  </si>
  <si>
    <t>Formula</t>
  </si>
  <si>
    <t>GOSE_6_Unfav ~ Age + InjuryHx.InjCause + arr_status + Upper_Lower_Extremities_imputed + arr_pp_size + arr_pp_prompt + head_neck_AIS + EDH + contusion + SAH + IVH + MidlineShift + basal_cistern_compression + ns(Alk.Phosphatase, df = 4) + ns(CRP, df = 4) + ns(BUN, df = 4) + ns(Sodium, df = 4) + ns(aPTT, df = 4) + ns(Albumin, df = 4)</t>
  </si>
  <si>
    <t>N_total</t>
  </si>
  <si>
    <t>2722</t>
  </si>
  <si>
    <t>Pos_Level</t>
  </si>
  <si>
    <t>1</t>
  </si>
  <si>
    <t>Penalty</t>
  </si>
  <si>
    <t>elasticnet</t>
  </si>
  <si>
    <t>Alpha</t>
  </si>
  <si>
    <t>0.5</t>
  </si>
  <si>
    <t>Lambda_Chosen</t>
  </si>
  <si>
    <t>0.04</t>
  </si>
  <si>
    <t>Use_CV</t>
  </si>
  <si>
    <t>FALSE</t>
  </si>
  <si>
    <t>Choose</t>
  </si>
  <si>
    <t>nfolds</t>
  </si>
  <si>
    <t>Threshold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</si>
  <si>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</si>
  <si>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</si>
  <si>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</si>
  <si>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</si>
  <si>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</si>
  <si>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</si>
  <si>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</si>
  <si>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</si>
  <si>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</si>
  <si>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</si>
  <si>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</si>
  <si>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</si>
  <si>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</si>
  <si>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</si>
  <si>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</si>
  <si>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</si>
  <si>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</si>
  <si>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</si>
  <si>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</si>
  <si>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</si>
  <si>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</si>
  <si>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</si>
  <si>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</si>
  <si>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</si>
  <si>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</si>
  <si>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</si>
  <si>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</si>
  <si>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</si>
  <si>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</si>
  <si>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</si>
  <si>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lambda=0.04</t>
  </si>
  <si>
    <t>(Intercept)</t>
  </si>
  <si>
    <t>Age</t>
  </si>
  <si>
    <t>InjuryHx.InjCause1</t>
  </si>
  <si>
    <t>InjuryHx.InjCause3</t>
  </si>
  <si>
    <t>InjuryHx.InjCause88</t>
  </si>
  <si>
    <t>arr_statusComa</t>
  </si>
  <si>
    <t>arr_statusDrowsy</t>
  </si>
  <si>
    <t>arr_statusSemicoma</t>
  </si>
  <si>
    <t>arr_statusStupor</t>
  </si>
  <si>
    <t>Upper_Lower_Extremities_imputedBoth Bilateral</t>
  </si>
  <si>
    <t>arr_pp_sizebilaterally mydriatic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</si>
  <si>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</si>
  <si>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</si>
  <si>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</si>
  <si>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</si>
  <si>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</si>
  <si>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</si>
  <si>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</si>
  <si>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</si>
  <si>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</si>
  <si>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ns(Alk.Phosphatase, df = 4)1</t>
  </si>
  <si>
    <t>ns(Alk.Phosphatase, df = 4)2</t>
  </si>
  <si>
    <t>ns(Alk.Phosphatase, df = 4)3</t>
  </si>
  <si>
    <t>ns(Alk.Phosphatase, df = 4)4</t>
  </si>
  <si>
    <t>ns(CRP, df = 4)1</t>
  </si>
  <si>
    <t>ns(CRP, df = 4)2</t>
  </si>
  <si>
    <t>ns(CRP, df = 4)3</t>
  </si>
  <si>
    <t>ns(CRP, df = 4)4</t>
  </si>
  <si>
    <t>ns(BUN, df = 4)1</t>
  </si>
  <si>
    <t>ns(BUN, df = 4)2</t>
  </si>
  <si>
    <t>ns(BUN, df = 4)3</t>
  </si>
  <si>
    <t>ns(BUN, df = 4)4</t>
  </si>
  <si>
    <t>ns(Sodium, df = 4)1</t>
  </si>
  <si>
    <t>ns(Sodium, df = 4)2</t>
  </si>
  <si>
    <t>ns(Sodium, df = 4)3</t>
  </si>
  <si>
    <t>ns(Sodium, df = 4)4</t>
  </si>
  <si>
    <t>ns(aPTT, df = 4)1</t>
  </si>
  <si>
    <t>ns(aPTT, df = 4)2</t>
  </si>
  <si>
    <t>ns(aPTT, df = 4)3</t>
  </si>
  <si>
    <t>ns(aPTT, df = 4)4</t>
  </si>
  <si>
    <t>ns(Albumin, df = 4)1</t>
  </si>
  <si>
    <t>ns(Albumin, df = 4)2</t>
  </si>
  <si>
    <t>ns(Albumin, df = 4)3</t>
  </si>
  <si>
    <t>ns(Albumin,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</si>
  <si>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</si>
  <si>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</si>
  <si>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</si>
  <si>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</si>
  <si>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</si>
  <si>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</si>
  <si>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</si>
  <si>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</si>
  <si>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</si>
  <si>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</si>
  <si>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</si>
  <si>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</si>
  <si>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</si>
  <si>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</si>
  <si>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</si>
  <si>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0.0436</t>
  </si>
  <si>
    <t>InjuryHx.InjCause</t>
  </si>
  <si>
    <t>0.0206</t>
  </si>
  <si>
    <t>0.995</t>
  </si>
  <si>
    <t>0.0554</t>
  </si>
  <si>
    <t>2.67e-07</t>
  </si>
  <si>
    <t>arr_status</t>
  </si>
  <si>
    <t>9.01e-12</t>
  </si>
  <si>
    <t>0.000139</t>
  </si>
  <si>
    <t>2.29e-11</t>
  </si>
  <si>
    <t>7.27e-11</t>
  </si>
  <si>
    <t>0.000188</t>
  </si>
  <si>
    <t>Upper_Lower_Extremities_imputed</t>
  </si>
  <si>
    <t>0.000178</t>
  </si>
  <si>
    <t>0.0106</t>
  </si>
  <si>
    <t>arr_pp_size</t>
  </si>
  <si>
    <t>0.0061</t>
  </si>
  <si>
    <t>3.25e-05</t>
  </si>
  <si>
    <t>arr_pp_prompt</t>
  </si>
  <si>
    <t>2.33e-05</t>
  </si>
  <si>
    <t>0.000138</t>
  </si>
  <si>
    <t>head_neck_AIS</t>
  </si>
  <si>
    <t>4.02e-08</t>
  </si>
  <si>
    <t>EDH</t>
  </si>
  <si>
    <t>2.34e-08</t>
  </si>
  <si>
    <t>3.73e-05</t>
  </si>
  <si>
    <t>contusion</t>
  </si>
  <si>
    <t>3.16e-05</t>
  </si>
  <si>
    <t>0.0625</t>
  </si>
  <si>
    <t>SAH</t>
  </si>
  <si>
    <t>0.0618</t>
  </si>
  <si>
    <t>0.00449</t>
  </si>
  <si>
    <t>IVH</t>
  </si>
  <si>
    <t>0.00444</t>
  </si>
  <si>
    <t>0.201</t>
  </si>
  <si>
    <t>MidlineShift</t>
  </si>
  <si>
    <t>0.202</t>
  </si>
  <si>
    <t>basal_cistern_compression</t>
  </si>
  <si>
    <t>0.0107</t>
  </si>
  <si>
    <t>0.403</t>
  </si>
  <si>
    <t>ns(Alk.Phosphatase, df = 4)</t>
  </si>
  <si>
    <t>0.00285</t>
  </si>
  <si>
    <t>0.661</t>
  </si>
  <si>
    <t>0.2</t>
  </si>
  <si>
    <t>0.000295</t>
  </si>
  <si>
    <t>0.177</t>
  </si>
  <si>
    <t>ns(CRP, df = 4)</t>
  </si>
  <si>
    <t>0.000171</t>
  </si>
  <si>
    <t>0.115</t>
  </si>
  <si>
    <t>0.336</t>
  </si>
  <si>
    <t>0.000867</t>
  </si>
  <si>
    <t>0.353</t>
  </si>
  <si>
    <t>ns(BUN, df = 4)</t>
  </si>
  <si>
    <t>0.0177</t>
  </si>
  <si>
    <t>0.636</t>
  </si>
  <si>
    <t>0.978</t>
  </si>
  <si>
    <t>0.199</t>
  </si>
  <si>
    <t>ns(Sodium, df = 4)</t>
  </si>
  <si>
    <t>0.0524</t>
  </si>
  <si>
    <t>0.605</t>
  </si>
  <si>
    <t>0.176</t>
  </si>
  <si>
    <t>0.103</t>
  </si>
  <si>
    <t>0.616</t>
  </si>
  <si>
    <t>ns(aPTT, df = 4)</t>
  </si>
  <si>
    <t>1.52e-07</t>
  </si>
  <si>
    <t>0.000975</t>
  </si>
  <si>
    <t>0.0471</t>
  </si>
  <si>
    <t>0.00684</t>
  </si>
  <si>
    <t>0.35</t>
  </si>
  <si>
    <t>ns(Albumin, df = 4)</t>
  </si>
  <si>
    <t>0.01</t>
  </si>
  <si>
    <t>0.00766</t>
  </si>
  <si>
    <t>0.518</t>
  </si>
  <si>
    <t>0.78</t>
  </si>
  <si>
    <t>JSON</t>
  </si>
  <si>
    <t>{"formula":"GOSE_6_Unfav ~ Age + InjuryHx.InjCause + arr_status + Upper_Lower_Extremities_imputed + arr_pp_size + arr_pp_prompt + head_neck_AIS + EDH + contusion + SAH + IVH + MidlineShift + basal_cistern_compression + ns(Alk.Phosphatase, df = 4) + ns(CRP, df = 4) + ns(BUN, df = 4) + ns(Sodium, df = 4) + ns(aPTT, df = 4) + ns(Albumin, df = 4)","penalty":"elasticnet","alpha":0.5,"lambda":0.04,"x_names":["Age","InjuryHx.InjCause1","InjuryHx.InjCause3","InjuryHx.InjCause88","arr_statusComa","arr_statusDrowsy","arr_statusSemicoma","arr_statusStupor","Upper_Lower_Extremities_imputedBoth Bilateral","arr_pp_sizebilaterally mydriatic","arr_pp_promptbilateral absence","head_neck_AIS4","head_neck_AIS5","EDHpresent","contusionpresent","SAHpresent","IVHpresent","MidlineShiftpresent","basal_cistern_compressionpresent","ns(Alk.Phosphatase, df = 4)1","ns(Alk.Phosphatase, df = 4)2","ns(Alk.Phosphatase, df = 4)3","ns(Alk.Phosphatase, df = 4)4","ns(CRP, df = 4)1","ns(CRP, df = 4)2","ns(CRP, df = 4)3","ns(CRP, df = 4)4","ns(BUN, df = 4)1","ns(BUN, df = 4)2","ns(BUN, df = 4)3","ns(BUN, df = 4)4","ns(Sodium, df = 4)1","ns(Sodium, df = 4)2","ns(Sodium, df = 4)3","ns(Sodium, df = 4)4","ns(aPTT, df = 4)1","ns(aPTT, df = 4)2","ns(aPTT, df = 4)3","ns(aPTT, df = 4)4","ns(Albumin, df = 4)1","ns(Albumin, df = 4)2","ns(Albumin, df = 4)3","ns(Albumin, df = 4)4"],"train_test":false,"test_prop":{},"split_seed":{},"standardize":true,"threshold":0.5,"family":"binomial","link":"logit"}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</si>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</sst>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11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15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2722</v>
      </c>
      <c r="C2">
        <v>1037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0.90429999999999999</v>
      </c>
    </row>
    <row r="3" spans="1:2" x14ac:dyDescent="0.3">
      <c r="A3" t="s">
        <v>30</v>
      </c>
      <c r="B3">
        <v>0.83250000000000002</v>
      </c>
    </row>
    <row r="4" spans="1:2" x14ac:dyDescent="0.3">
      <c r="A4" t="s">
        <v>31</v>
      </c>
      <c r="B4">
        <v>0.68759999999999999</v>
      </c>
    </row>
    <row r="5" spans="1:2" x14ac:dyDescent="0.3">
      <c r="A5" t="s">
        <v>32</v>
      </c>
      <c r="B5">
        <v>0.84379999999999999</v>
      </c>
    </row>
    <row r="6" spans="1:2" x14ac:dyDescent="0.3">
      <c r="A6" t="s">
        <v>33</v>
      </c>
      <c r="B6">
        <v>0.75770000000000004</v>
      </c>
    </row>
    <row r="7" spans="1:2" x14ac:dyDescent="0.3">
      <c r="A7" t="s">
        <v>34</v>
      </c>
      <c r="B7">
        <v>0.40720000000000001</v>
      </c>
    </row>
    <row r="8" spans="1:2" x14ac:dyDescent="0.3">
      <c r="A8" t="s">
        <v>35</v>
      </c>
      <c r="B8">
        <v>2190.4229999999998</v>
      </c>
    </row>
    <row r="9" spans="1:2" x14ac:dyDescent="0.3">
      <c r="A9" t="s">
        <v>36</v>
      </c>
      <c r="B9">
        <v>0.1222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-2.35072694223373E-10</v>
      </c>
      <c r="C2">
        <v>4.87430382467018E-2</v>
      </c>
      <c r="D2">
        <v>-4.8226926896433001E-9</v>
      </c>
      <c r="E2">
        <v>0.99999999615204804</v>
      </c>
      <c r="F2">
        <v>-9.5536355198608203E-2</v>
      </c>
      <c r="G2">
        <v>9.5536354728462794E-2</v>
      </c>
    </row>
    <row r="3" spans="1:7" x14ac:dyDescent="0.3">
      <c r="A3" t="s">
        <v>45</v>
      </c>
      <c r="B3">
        <v>1.4885774338648801</v>
      </c>
      <c r="C3">
        <v>5.5403682357620901E-2</v>
      </c>
      <c r="D3">
        <v>26.867842903588599</v>
      </c>
      <c r="E3">
        <v>5.2196828434795896E-159</v>
      </c>
      <c r="F3">
        <v>1.37998621644395</v>
      </c>
      <c r="G3">
        <v>1.5971686512858201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-2.6034951239795401</v>
      </c>
    </row>
    <row r="3" spans="1:3" x14ac:dyDescent="0.3">
      <c r="A3" t="s">
        <v>49</v>
      </c>
      <c r="B3" t="s">
        <v>51</v>
      </c>
      <c r="C3">
        <v>1.8411568674999001E-2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0.50036559996949204</v>
      </c>
    </row>
    <row r="8" spans="1:3" x14ac:dyDescent="0.3">
      <c r="A8" t="s">
        <v>49</v>
      </c>
      <c r="B8" t="s">
        <v>56</v>
      </c>
      <c r="C8">
        <v>0</v>
      </c>
    </row>
    <row r="9" spans="1:3" x14ac:dyDescent="0.3">
      <c r="A9" t="s">
        <v>49</v>
      </c>
      <c r="B9" t="s">
        <v>57</v>
      </c>
      <c r="C9">
        <v>0.42878987139177199</v>
      </c>
    </row>
    <row r="10" spans="1:3" x14ac:dyDescent="0.3">
      <c r="A10" t="s">
        <v>49</v>
      </c>
      <c r="B10" t="s">
        <v>58</v>
      </c>
      <c r="C10">
        <v>0.223677749720917</v>
      </c>
    </row>
    <row r="11" spans="1:3" x14ac:dyDescent="0.3">
      <c r="A11" t="s">
        <v>49</v>
      </c>
      <c r="B11" t="s">
        <v>59</v>
      </c>
      <c r="C11">
        <v>0.87977410671573997</v>
      </c>
    </row>
    <row r="12" spans="1:3" x14ac:dyDescent="0.3">
      <c r="A12" t="s">
        <v>49</v>
      </c>
      <c r="B12" t="s">
        <v>60</v>
      </c>
      <c r="C12">
        <v>0.22782731305727799</v>
      </c>
    </row>
    <row r="13" spans="1:3" x14ac:dyDescent="0.3">
      <c r="A13" t="s">
        <v>49</v>
      </c>
      <c r="B13" t="s">
        <v>61</v>
      </c>
      <c r="C13">
        <v>0.88340624166480697</v>
      </c>
    </row>
    <row r="14" spans="1:3" x14ac:dyDescent="0.3">
      <c r="A14" t="s">
        <v>49</v>
      </c>
      <c r="B14" t="s">
        <v>62</v>
      </c>
      <c r="C14">
        <v>6.2029602427966103E-2</v>
      </c>
    </row>
    <row r="15" spans="1:3" x14ac:dyDescent="0.3">
      <c r="A15" t="s">
        <v>49</v>
      </c>
      <c r="B15" t="s">
        <v>63</v>
      </c>
      <c r="C15">
        <v>0.885354527091745</v>
      </c>
    </row>
    <row r="16" spans="1:3" x14ac:dyDescent="0.3">
      <c r="A16" t="s">
        <v>49</v>
      </c>
      <c r="B16" t="s">
        <v>64</v>
      </c>
      <c r="C16">
        <v>-0.31307365023099398</v>
      </c>
    </row>
    <row r="17" spans="1:3" x14ac:dyDescent="0.3">
      <c r="A17" t="s">
        <v>49</v>
      </c>
      <c r="B17" t="s">
        <v>65</v>
      </c>
      <c r="C17">
        <v>0.29451343037829097</v>
      </c>
    </row>
    <row r="18" spans="1:3" x14ac:dyDescent="0.3">
      <c r="A18" t="s">
        <v>49</v>
      </c>
      <c r="B18" t="s">
        <v>66</v>
      </c>
      <c r="C18">
        <v>0.160549022449573</v>
      </c>
    </row>
    <row r="19" spans="1:3" x14ac:dyDescent="0.3">
      <c r="A19" t="s">
        <v>49</v>
      </c>
      <c r="B19" t="s">
        <v>67</v>
      </c>
      <c r="C19">
        <v>0.36231488927841898</v>
      </c>
    </row>
    <row r="20" spans="1:3" x14ac:dyDescent="0.3">
      <c r="A20" t="s">
        <v>49</v>
      </c>
      <c r="B20" t="s">
        <v>68</v>
      </c>
      <c r="C20">
        <v>0.18839988096097099</v>
      </c>
    </row>
    <row r="21" spans="1:3" x14ac:dyDescent="0.3">
      <c r="A21" t="s">
        <v>49</v>
      </c>
      <c r="B21" t="s">
        <v>69</v>
      </c>
      <c r="C21">
        <v>0.35316190195705199</v>
      </c>
    </row>
    <row r="22" spans="1:3" x14ac:dyDescent="0.3">
      <c r="A22" t="s">
        <v>49</v>
      </c>
      <c r="B22" t="s">
        <v>70</v>
      </c>
      <c r="C22">
        <v>0</v>
      </c>
    </row>
    <row r="23" spans="1:3" x14ac:dyDescent="0.3">
      <c r="A23" t="s">
        <v>49</v>
      </c>
      <c r="B23" t="s">
        <v>71</v>
      </c>
      <c r="C23">
        <v>0</v>
      </c>
    </row>
    <row r="24" spans="1:3" x14ac:dyDescent="0.3">
      <c r="A24" t="s">
        <v>49</v>
      </c>
      <c r="B24" t="s">
        <v>72</v>
      </c>
      <c r="C24">
        <v>0</v>
      </c>
    </row>
    <row r="25" spans="1:3" x14ac:dyDescent="0.3">
      <c r="A25" t="s">
        <v>49</v>
      </c>
      <c r="B25" t="s">
        <v>73</v>
      </c>
      <c r="C25">
        <v>0.45926212408273098</v>
      </c>
    </row>
    <row r="26" spans="1:3" x14ac:dyDescent="0.3">
      <c r="A26" t="s">
        <v>49</v>
      </c>
      <c r="B26" t="s">
        <v>74</v>
      </c>
      <c r="C26">
        <v>0</v>
      </c>
    </row>
    <row r="27" spans="1:3" x14ac:dyDescent="0.3">
      <c r="A27" t="s">
        <v>49</v>
      </c>
      <c r="B27" t="s">
        <v>75</v>
      </c>
      <c r="C27">
        <v>0</v>
      </c>
    </row>
    <row r="28" spans="1:3" x14ac:dyDescent="0.3">
      <c r="A28" t="s">
        <v>49</v>
      </c>
      <c r="B28" t="s">
        <v>76</v>
      </c>
      <c r="C28">
        <v>0</v>
      </c>
    </row>
    <row r="29" spans="1:3" x14ac:dyDescent="0.3">
      <c r="A29" t="s">
        <v>49</v>
      </c>
      <c r="B29" t="s">
        <v>77</v>
      </c>
      <c r="C29">
        <v>0.61979965162725803</v>
      </c>
    </row>
    <row r="30" spans="1:3" x14ac:dyDescent="0.3">
      <c r="A30" t="s">
        <v>49</v>
      </c>
      <c r="B30" t="s">
        <v>78</v>
      </c>
      <c r="C30">
        <v>0</v>
      </c>
    </row>
    <row r="31" spans="1:3" x14ac:dyDescent="0.3">
      <c r="A31" t="s">
        <v>49</v>
      </c>
      <c r="B31" t="s">
        <v>79</v>
      </c>
      <c r="C31">
        <v>0.40147487030948997</v>
      </c>
    </row>
    <row r="32" spans="1:3" x14ac:dyDescent="0.3">
      <c r="A32" t="s">
        <v>49</v>
      </c>
      <c r="B32" t="s">
        <v>80</v>
      </c>
      <c r="C32">
        <v>0</v>
      </c>
    </row>
    <row r="33" spans="1:3" x14ac:dyDescent="0.3">
      <c r="A33" t="s">
        <v>49</v>
      </c>
      <c r="B33" t="s">
        <v>81</v>
      </c>
      <c r="C33">
        <v>0</v>
      </c>
    </row>
    <row r="34" spans="1:3" x14ac:dyDescent="0.3">
      <c r="A34" t="s">
        <v>49</v>
      </c>
      <c r="B34" t="s">
        <v>82</v>
      </c>
      <c r="C34">
        <v>-0.105665257024996</v>
      </c>
    </row>
    <row r="35" spans="1:3" x14ac:dyDescent="0.3">
      <c r="A35" t="s">
        <v>49</v>
      </c>
      <c r="B35" t="s">
        <v>83</v>
      </c>
      <c r="C35">
        <v>0</v>
      </c>
    </row>
    <row r="36" spans="1:3" x14ac:dyDescent="0.3">
      <c r="A36" t="s">
        <v>49</v>
      </c>
      <c r="B36" t="s">
        <v>84</v>
      </c>
      <c r="C36">
        <v>0</v>
      </c>
    </row>
    <row r="37" spans="1:3" x14ac:dyDescent="0.3">
      <c r="A37" t="s">
        <v>49</v>
      </c>
      <c r="B37" t="s">
        <v>85</v>
      </c>
      <c r="C37">
        <v>0</v>
      </c>
    </row>
    <row r="38" spans="1:3" x14ac:dyDescent="0.3">
      <c r="A38" t="s">
        <v>49</v>
      </c>
      <c r="B38" t="s">
        <v>86</v>
      </c>
      <c r="C38">
        <v>0</v>
      </c>
    </row>
    <row r="39" spans="1:3" x14ac:dyDescent="0.3">
      <c r="A39" t="s">
        <v>49</v>
      </c>
      <c r="B39" t="s">
        <v>87</v>
      </c>
      <c r="C39">
        <v>1.0053483144473101</v>
      </c>
    </row>
    <row r="40" spans="1:3" x14ac:dyDescent="0.3">
      <c r="A40" t="s">
        <v>49</v>
      </c>
      <c r="B40" t="s">
        <v>88</v>
      </c>
      <c r="C40">
        <v>0</v>
      </c>
    </row>
    <row r="41" spans="1:3" x14ac:dyDescent="0.3">
      <c r="A41" t="s">
        <v>49</v>
      </c>
      <c r="B41" t="s">
        <v>89</v>
      </c>
      <c r="C41">
        <v>0.38580371087287302</v>
      </c>
    </row>
    <row r="42" spans="1:3" x14ac:dyDescent="0.3">
      <c r="A42" t="s">
        <v>49</v>
      </c>
      <c r="B42" t="s">
        <v>90</v>
      </c>
      <c r="C42">
        <v>0</v>
      </c>
    </row>
    <row r="43" spans="1:3" x14ac:dyDescent="0.3">
      <c r="A43" t="s">
        <v>49</v>
      </c>
      <c r="B43" t="s">
        <v>91</v>
      </c>
      <c r="C43">
        <v>-0.63853321956396503</v>
      </c>
    </row>
    <row r="44" spans="1:3" x14ac:dyDescent="0.3">
      <c r="A44" t="s">
        <v>49</v>
      </c>
      <c r="B44" t="s">
        <v>92</v>
      </c>
      <c r="C44">
        <v>0</v>
      </c>
    </row>
    <row r="45" spans="1:3" x14ac:dyDescent="0.3">
      <c r="A45" t="s">
        <v>49</v>
      </c>
      <c r="B45" t="s">
        <v>93</v>
      </c>
      <c r="C4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4"/>
  <sheetViews>
    <sheetView tabSelected="1" workbookViewId="0">
      <pane ySplit="1" topLeftCell="A26" activePane="bottomLeft" state="frozen"/>
      <selection pane="bottomLeft" activeCell="J19" sqref="J19"/>
    </sheetView>
  </sheetViews>
  <sheetFormatPr defaultColWidth="11.5546875" defaultRowHeight="14.4" x14ac:dyDescent="0.3"/>
  <sheetData>
    <row r="1" spans="1:18" x14ac:dyDescent="0.3">
      <c r="A1" t="s">
        <v>94</v>
      </c>
      <c r="B1" t="s">
        <v>95</v>
      </c>
      <c r="C1" t="s">
        <v>96</v>
      </c>
      <c r="D1" t="s">
        <v>97</v>
      </c>
      <c r="E1" t="s">
        <v>41</v>
      </c>
      <c r="F1" t="s">
        <v>98</v>
      </c>
      <c r="G1" t="s">
        <v>99</v>
      </c>
      <c r="H1" t="s">
        <v>42</v>
      </c>
      <c r="I1" t="s">
        <v>43</v>
      </c>
      <c r="J1" t="s">
        <v>185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</row>
    <row r="2" spans="1:18" x14ac:dyDescent="0.3">
      <c r="A2" t="s">
        <v>51</v>
      </c>
      <c r="B2">
        <v>3.6530292309148303E-2</v>
      </c>
      <c r="C2">
        <v>4.1772962134449202E-3</v>
      </c>
      <c r="D2">
        <v>8.7449609610094292</v>
      </c>
      <c r="E2">
        <v>2.23092767149794E-18</v>
      </c>
      <c r="F2" t="s">
        <v>108</v>
      </c>
      <c r="G2">
        <v>1.0372057228982801</v>
      </c>
      <c r="H2">
        <v>1.02874827038636</v>
      </c>
      <c r="I2">
        <v>1.04573270505614</v>
      </c>
      <c r="J2" t="str">
        <f>_xlfn.CONCAT(ROUND(G2,2), " (", ROUND(H2,2),"-", ROUND(I2,2),")")</f>
        <v>1.04 (1.03-1.05)</v>
      </c>
      <c r="K2" t="s">
        <v>51</v>
      </c>
      <c r="L2">
        <v>1.47663731395141</v>
      </c>
      <c r="M2">
        <v>1.47663731395141</v>
      </c>
      <c r="N2">
        <v>1.47663731395141</v>
      </c>
      <c r="O2">
        <v>81.993720555502506</v>
      </c>
      <c r="P2">
        <v>1</v>
      </c>
      <c r="Q2">
        <v>1.3651973430088899E-19</v>
      </c>
      <c r="R2" t="s">
        <v>108</v>
      </c>
    </row>
    <row r="3" spans="1:18" x14ac:dyDescent="0.3">
      <c r="A3" t="s">
        <v>52</v>
      </c>
      <c r="B3">
        <v>0.26891473364440899</v>
      </c>
      <c r="C3">
        <v>0.13326547473877401</v>
      </c>
      <c r="D3">
        <v>2.0178874848983499</v>
      </c>
      <c r="E3">
        <v>4.3602980749768497E-2</v>
      </c>
      <c r="F3" t="s">
        <v>109</v>
      </c>
      <c r="G3">
        <v>1.30854356154892</v>
      </c>
      <c r="H3">
        <v>1.00774423582885</v>
      </c>
      <c r="I3">
        <v>1.6991278060378101</v>
      </c>
      <c r="J3" t="str">
        <f t="shared" ref="J3:J44" si="0">_xlfn.CONCAT(ROUND(G3,2), " (", ROUND(H3,2),"-", ROUND(I3,2),")")</f>
        <v>1.31 (1.01-1.7)</v>
      </c>
      <c r="K3" t="s">
        <v>110</v>
      </c>
      <c r="L3">
        <v>1.1801127108837799</v>
      </c>
      <c r="M3">
        <v>1.28765276655412</v>
      </c>
      <c r="N3">
        <v>1.28765276655412</v>
      </c>
      <c r="O3">
        <v>9.7722896694901902</v>
      </c>
      <c r="P3">
        <v>3</v>
      </c>
      <c r="Q3">
        <v>2.0604312517517799E-2</v>
      </c>
      <c r="R3" t="s">
        <v>111</v>
      </c>
    </row>
    <row r="4" spans="1:18" x14ac:dyDescent="0.3">
      <c r="A4" t="s">
        <v>53</v>
      </c>
      <c r="B4">
        <v>-1.8340280730773601E-3</v>
      </c>
      <c r="C4">
        <v>0.30102752237848102</v>
      </c>
      <c r="D4">
        <v>-6.0925594397028002E-3</v>
      </c>
      <c r="E4">
        <v>0.99513887096090803</v>
      </c>
      <c r="F4" t="s">
        <v>112</v>
      </c>
      <c r="G4">
        <v>0.998167652728706</v>
      </c>
      <c r="H4">
        <v>0.55330384940070798</v>
      </c>
      <c r="I4">
        <v>1.8007079907958099</v>
      </c>
      <c r="J4" t="str">
        <f t="shared" si="0"/>
        <v>1 (0.55-1.8)</v>
      </c>
      <c r="K4" t="s">
        <v>110</v>
      </c>
      <c r="L4">
        <v>1.1801127108837799</v>
      </c>
      <c r="M4">
        <v>1.28765276655412</v>
      </c>
      <c r="N4">
        <v>1.14805194037333</v>
      </c>
      <c r="O4">
        <v>9.7722896694901902</v>
      </c>
      <c r="P4">
        <v>3</v>
      </c>
      <c r="Q4">
        <v>2.0604312517517799E-2</v>
      </c>
      <c r="R4" t="s">
        <v>111</v>
      </c>
    </row>
    <row r="5" spans="1:18" x14ac:dyDescent="0.3">
      <c r="A5" t="s">
        <v>54</v>
      </c>
      <c r="B5">
        <v>-0.48094799412870798</v>
      </c>
      <c r="C5">
        <v>0.25102843459859903</v>
      </c>
      <c r="D5">
        <v>-1.9159104222505901</v>
      </c>
      <c r="E5">
        <v>5.53764986551009E-2</v>
      </c>
      <c r="F5" t="s">
        <v>113</v>
      </c>
      <c r="G5">
        <v>0.61819706674403596</v>
      </c>
      <c r="H5">
        <v>0.37796120309612302</v>
      </c>
      <c r="I5">
        <v>1.01112921167662</v>
      </c>
      <c r="J5" t="str">
        <f t="shared" si="0"/>
        <v>0.62 (0.38-1.01)</v>
      </c>
      <c r="K5" t="s">
        <v>110</v>
      </c>
      <c r="L5">
        <v>1.1801127108837799</v>
      </c>
      <c r="M5">
        <v>1.28765276655412</v>
      </c>
      <c r="N5">
        <v>1.1046334257238899</v>
      </c>
      <c r="O5">
        <v>9.7722896694901902</v>
      </c>
      <c r="P5">
        <v>3</v>
      </c>
      <c r="Q5">
        <v>2.0604312517517799E-2</v>
      </c>
      <c r="R5" t="s">
        <v>111</v>
      </c>
    </row>
    <row r="6" spans="1:18" x14ac:dyDescent="0.3">
      <c r="A6" t="s">
        <v>55</v>
      </c>
      <c r="B6">
        <v>1.8559752099877</v>
      </c>
      <c r="C6">
        <v>0.36071993444073802</v>
      </c>
      <c r="D6">
        <v>5.1451972369234804</v>
      </c>
      <c r="E6">
        <v>2.6723988104397101E-7</v>
      </c>
      <c r="F6" t="s">
        <v>114</v>
      </c>
      <c r="G6">
        <v>6.39793453894438</v>
      </c>
      <c r="H6">
        <v>3.1549231529939998</v>
      </c>
      <c r="I6">
        <v>12.9745050448445</v>
      </c>
      <c r="J6" t="str">
        <f t="shared" si="0"/>
        <v>6.4 (3.15-12.97)</v>
      </c>
      <c r="K6" t="s">
        <v>115</v>
      </c>
      <c r="L6">
        <v>2.3175309708731699</v>
      </c>
      <c r="M6">
        <v>2.9176308534909299</v>
      </c>
      <c r="N6">
        <v>2.9176308534909299</v>
      </c>
      <c r="O6">
        <v>57.656605786041403</v>
      </c>
      <c r="P6">
        <v>4</v>
      </c>
      <c r="Q6">
        <v>9.0085662227923407E-12</v>
      </c>
      <c r="R6" t="s">
        <v>116</v>
      </c>
    </row>
    <row r="7" spans="1:18" x14ac:dyDescent="0.3">
      <c r="A7" t="s">
        <v>56</v>
      </c>
      <c r="B7">
        <v>0.69943851416994196</v>
      </c>
      <c r="C7">
        <v>0.18361043344078501</v>
      </c>
      <c r="D7">
        <v>3.8093614892288401</v>
      </c>
      <c r="E7">
        <v>1.39326131758744E-4</v>
      </c>
      <c r="F7" t="s">
        <v>117</v>
      </c>
      <c r="G7">
        <v>2.0126223312348102</v>
      </c>
      <c r="H7">
        <v>1.40433244902103</v>
      </c>
      <c r="I7">
        <v>2.8843943975009498</v>
      </c>
      <c r="J7" t="str">
        <f t="shared" si="0"/>
        <v>2.01 (1.4-2.88)</v>
      </c>
      <c r="K7" t="s">
        <v>115</v>
      </c>
      <c r="L7">
        <v>2.3175309708731699</v>
      </c>
      <c r="M7">
        <v>2.9176308534909299</v>
      </c>
      <c r="N7">
        <v>1.6485393754358699</v>
      </c>
      <c r="O7">
        <v>57.656605786041403</v>
      </c>
      <c r="P7">
        <v>4</v>
      </c>
      <c r="Q7">
        <v>9.0085662227923407E-12</v>
      </c>
      <c r="R7" t="s">
        <v>116</v>
      </c>
    </row>
    <row r="8" spans="1:18" x14ac:dyDescent="0.3">
      <c r="A8" t="s">
        <v>57</v>
      </c>
      <c r="B8">
        <v>1.5921042405044601</v>
      </c>
      <c r="C8">
        <v>0.23812097127259499</v>
      </c>
      <c r="D8">
        <v>6.6861151791702502</v>
      </c>
      <c r="E8">
        <v>2.2917268123807201E-11</v>
      </c>
      <c r="F8" t="s">
        <v>118</v>
      </c>
      <c r="G8">
        <v>4.9140784595428499</v>
      </c>
      <c r="H8">
        <v>3.0814095450969701</v>
      </c>
      <c r="I8">
        <v>7.8367275602708402</v>
      </c>
      <c r="J8" t="str">
        <f t="shared" si="0"/>
        <v>4.91 (3.08-7.84)</v>
      </c>
      <c r="K8" t="s">
        <v>115</v>
      </c>
      <c r="L8">
        <v>2.3175309708731699</v>
      </c>
      <c r="M8">
        <v>2.9176308534909299</v>
      </c>
      <c r="N8">
        <v>2.8543195898734499</v>
      </c>
      <c r="O8">
        <v>57.656605786041403</v>
      </c>
      <c r="P8">
        <v>4</v>
      </c>
      <c r="Q8">
        <v>9.0085662227923407E-12</v>
      </c>
      <c r="R8" t="s">
        <v>116</v>
      </c>
    </row>
    <row r="9" spans="1:18" x14ac:dyDescent="0.3">
      <c r="A9" t="s">
        <v>58</v>
      </c>
      <c r="B9">
        <v>1.34754515941038</v>
      </c>
      <c r="C9">
        <v>0.20683498582379301</v>
      </c>
      <c r="D9">
        <v>6.5150736179535098</v>
      </c>
      <c r="E9">
        <v>7.26540167782065E-11</v>
      </c>
      <c r="F9" t="s">
        <v>119</v>
      </c>
      <c r="G9">
        <v>3.8479677793183402</v>
      </c>
      <c r="H9">
        <v>2.5654876748438999</v>
      </c>
      <c r="I9">
        <v>5.7715560966680801</v>
      </c>
      <c r="J9" t="str">
        <f t="shared" si="0"/>
        <v>3.85 (2.57-5.77)</v>
      </c>
      <c r="K9" t="s">
        <v>115</v>
      </c>
      <c r="L9">
        <v>2.3175309708731699</v>
      </c>
      <c r="M9">
        <v>2.9176308534909299</v>
      </c>
      <c r="N9">
        <v>1.8496340646924301</v>
      </c>
      <c r="O9">
        <v>57.656605786041403</v>
      </c>
      <c r="P9">
        <v>4</v>
      </c>
      <c r="Q9">
        <v>9.0085662227923407E-12</v>
      </c>
      <c r="R9" t="s">
        <v>116</v>
      </c>
    </row>
    <row r="10" spans="1:18" x14ac:dyDescent="0.3">
      <c r="A10" t="s">
        <v>59</v>
      </c>
      <c r="B10">
        <v>0.69492028095832803</v>
      </c>
      <c r="C10">
        <v>0.186066028932386</v>
      </c>
      <c r="D10">
        <v>3.7348047085524199</v>
      </c>
      <c r="E10">
        <v>1.8786091045258901E-4</v>
      </c>
      <c r="F10" t="s">
        <v>120</v>
      </c>
      <c r="G10">
        <v>2.0035493465407499</v>
      </c>
      <c r="H10">
        <v>1.3912892903496901</v>
      </c>
      <c r="I10">
        <v>2.8852446517538799</v>
      </c>
      <c r="J10" t="str">
        <f t="shared" si="0"/>
        <v>2 (1.39-2.89)</v>
      </c>
      <c r="K10" t="s">
        <v>121</v>
      </c>
      <c r="L10">
        <v>2.6258772675537299</v>
      </c>
      <c r="M10">
        <v>2.6258772675537299</v>
      </c>
      <c r="N10">
        <v>2.6258772675537299</v>
      </c>
      <c r="O10">
        <v>14.0520389180751</v>
      </c>
      <c r="P10">
        <v>1</v>
      </c>
      <c r="Q10">
        <v>1.77820939547509E-4</v>
      </c>
      <c r="R10" t="s">
        <v>122</v>
      </c>
    </row>
    <row r="11" spans="1:18" x14ac:dyDescent="0.3">
      <c r="A11" t="s">
        <v>60</v>
      </c>
      <c r="B11">
        <v>1.18238184147009</v>
      </c>
      <c r="C11">
        <v>0.46243847894496498</v>
      </c>
      <c r="D11">
        <v>2.5568413860534398</v>
      </c>
      <c r="E11">
        <v>1.0562736868481099E-2</v>
      </c>
      <c r="F11" t="s">
        <v>123</v>
      </c>
      <c r="G11">
        <v>3.2621348449659102</v>
      </c>
      <c r="H11">
        <v>1.3178510568312101</v>
      </c>
      <c r="I11">
        <v>8.0749062586241092</v>
      </c>
      <c r="J11" t="str">
        <f t="shared" si="0"/>
        <v>3.26 (1.32-8.07)</v>
      </c>
      <c r="K11" t="s">
        <v>124</v>
      </c>
      <c r="L11">
        <v>1.44698288168901</v>
      </c>
      <c r="M11">
        <v>1.44698288168901</v>
      </c>
      <c r="N11">
        <v>1.44698288168901</v>
      </c>
      <c r="O11">
        <v>7.5215490642185596</v>
      </c>
      <c r="P11">
        <v>1</v>
      </c>
      <c r="Q11">
        <v>6.0965231700969603E-3</v>
      </c>
      <c r="R11" t="s">
        <v>125</v>
      </c>
    </row>
    <row r="12" spans="1:18" x14ac:dyDescent="0.3">
      <c r="A12" t="s">
        <v>61</v>
      </c>
      <c r="B12">
        <v>0.876447613052173</v>
      </c>
      <c r="C12">
        <v>0.210915702667369</v>
      </c>
      <c r="D12">
        <v>4.1554403108354601</v>
      </c>
      <c r="E12">
        <v>3.2466169724360397E-5</v>
      </c>
      <c r="F12" t="s">
        <v>126</v>
      </c>
      <c r="G12">
        <v>2.4023504518882901</v>
      </c>
      <c r="H12">
        <v>1.58891729195288</v>
      </c>
      <c r="I12">
        <v>3.6322140384000599</v>
      </c>
      <c r="J12" t="str">
        <f t="shared" si="0"/>
        <v>2.4 (1.59-3.63)</v>
      </c>
      <c r="K12" t="s">
        <v>127</v>
      </c>
      <c r="L12">
        <v>2.0231189693088099</v>
      </c>
      <c r="M12">
        <v>2.0231189693088099</v>
      </c>
      <c r="N12">
        <v>2.0231189693088099</v>
      </c>
      <c r="O12">
        <v>17.901280964131701</v>
      </c>
      <c r="P12">
        <v>1</v>
      </c>
      <c r="Q12">
        <v>2.3266445631294399E-5</v>
      </c>
      <c r="R12" t="s">
        <v>128</v>
      </c>
    </row>
    <row r="13" spans="1:18" x14ac:dyDescent="0.3">
      <c r="A13" t="s">
        <v>62</v>
      </c>
      <c r="B13">
        <v>0.62779184192190596</v>
      </c>
      <c r="C13">
        <v>0.16471958856198701</v>
      </c>
      <c r="D13">
        <v>3.8112761657709999</v>
      </c>
      <c r="E13">
        <v>1.3825120781554799E-4</v>
      </c>
      <c r="F13" t="s">
        <v>129</v>
      </c>
      <c r="G13">
        <v>1.87346909250775</v>
      </c>
      <c r="H13">
        <v>1.3565455726862701</v>
      </c>
      <c r="I13">
        <v>2.5873708272339502</v>
      </c>
      <c r="J13" t="str">
        <f t="shared" si="0"/>
        <v>1.87 (1.36-2.59)</v>
      </c>
      <c r="K13" t="s">
        <v>130</v>
      </c>
      <c r="L13">
        <v>1.9263838932153801</v>
      </c>
      <c r="M13">
        <v>2.3599815948041298</v>
      </c>
      <c r="N13">
        <v>1.4927861916266301</v>
      </c>
      <c r="O13">
        <v>88.675636319185699</v>
      </c>
      <c r="P13">
        <v>2</v>
      </c>
      <c r="Q13">
        <v>5.5504760579558904E-20</v>
      </c>
      <c r="R13" t="s">
        <v>108</v>
      </c>
    </row>
    <row r="14" spans="1:18" x14ac:dyDescent="0.3">
      <c r="A14" t="s">
        <v>63</v>
      </c>
      <c r="B14">
        <v>1.58459063042715</v>
      </c>
      <c r="C14">
        <v>0.17477499147370901</v>
      </c>
      <c r="D14">
        <v>9.0664609225028805</v>
      </c>
      <c r="E14">
        <v>1.2294547435257801E-19</v>
      </c>
      <c r="F14" t="s">
        <v>108</v>
      </c>
      <c r="G14">
        <v>4.8772943538737596</v>
      </c>
      <c r="H14">
        <v>3.4626411884808501</v>
      </c>
      <c r="I14">
        <v>6.86990043711842</v>
      </c>
      <c r="J14" t="str">
        <f t="shared" si="0"/>
        <v>4.88 (3.46-6.87)</v>
      </c>
      <c r="K14" t="s">
        <v>130</v>
      </c>
      <c r="L14">
        <v>1.9263838932153801</v>
      </c>
      <c r="M14">
        <v>2.3599815948041298</v>
      </c>
      <c r="N14">
        <v>2.3599815948041298</v>
      </c>
      <c r="O14">
        <v>88.675636319185699</v>
      </c>
      <c r="P14">
        <v>2</v>
      </c>
      <c r="Q14">
        <v>5.5504760579558904E-20</v>
      </c>
      <c r="R14" t="s">
        <v>108</v>
      </c>
    </row>
    <row r="15" spans="1:18" x14ac:dyDescent="0.3">
      <c r="A15" t="s">
        <v>64</v>
      </c>
      <c r="B15">
        <v>-0.76681326818309203</v>
      </c>
      <c r="C15">
        <v>0.13967685438362101</v>
      </c>
      <c r="D15">
        <v>-5.48990934515927</v>
      </c>
      <c r="E15">
        <v>4.0214009023892898E-8</v>
      </c>
      <c r="F15" t="s">
        <v>131</v>
      </c>
      <c r="G15">
        <v>0.464490920295966</v>
      </c>
      <c r="H15">
        <v>0.35324977202753999</v>
      </c>
      <c r="I15">
        <v>0.61076278633966796</v>
      </c>
      <c r="J15" t="str">
        <f t="shared" si="0"/>
        <v>0.46 (0.35-0.61)</v>
      </c>
      <c r="K15" t="s">
        <v>132</v>
      </c>
      <c r="L15">
        <v>1.1592307242731901</v>
      </c>
      <c r="M15">
        <v>1.1592307242731901</v>
      </c>
      <c r="N15">
        <v>1.1592307242731901</v>
      </c>
      <c r="O15">
        <v>31.1898179329371</v>
      </c>
      <c r="P15">
        <v>1</v>
      </c>
      <c r="Q15">
        <v>2.3399017491230999E-8</v>
      </c>
      <c r="R15" t="s">
        <v>133</v>
      </c>
    </row>
    <row r="16" spans="1:18" x14ac:dyDescent="0.3">
      <c r="A16" t="s">
        <v>65</v>
      </c>
      <c r="B16">
        <v>0.60822047061056606</v>
      </c>
      <c r="C16">
        <v>0.14750172919205301</v>
      </c>
      <c r="D16">
        <v>4.1234802733643701</v>
      </c>
      <c r="E16">
        <v>3.7319043440082999E-5</v>
      </c>
      <c r="F16" t="s">
        <v>134</v>
      </c>
      <c r="G16">
        <v>1.8371592093603999</v>
      </c>
      <c r="H16">
        <v>1.3759124092189501</v>
      </c>
      <c r="I16">
        <v>2.45302966811213</v>
      </c>
      <c r="J16" t="str">
        <f t="shared" si="0"/>
        <v>1.84 (1.38-2.45)</v>
      </c>
      <c r="K16" t="s">
        <v>135</v>
      </c>
      <c r="L16">
        <v>1.25495412110849</v>
      </c>
      <c r="M16">
        <v>1.25495412110849</v>
      </c>
      <c r="N16">
        <v>1.25495412110849</v>
      </c>
      <c r="O16">
        <v>17.321186776590402</v>
      </c>
      <c r="P16">
        <v>1</v>
      </c>
      <c r="Q16">
        <v>3.1564790829927197E-5</v>
      </c>
      <c r="R16" t="s">
        <v>136</v>
      </c>
    </row>
    <row r="17" spans="1:18" x14ac:dyDescent="0.3">
      <c r="A17" t="s">
        <v>66</v>
      </c>
      <c r="B17">
        <v>0.27541289018442699</v>
      </c>
      <c r="C17">
        <v>0.14784851343929001</v>
      </c>
      <c r="D17">
        <v>1.86280459490394</v>
      </c>
      <c r="E17">
        <v>6.2489763341553498E-2</v>
      </c>
      <c r="F17" t="s">
        <v>137</v>
      </c>
      <c r="G17">
        <v>1.31707436969618</v>
      </c>
      <c r="H17">
        <v>0.98573256230358897</v>
      </c>
      <c r="I17">
        <v>1.7597926269745401</v>
      </c>
      <c r="J17" t="str">
        <f t="shared" si="0"/>
        <v>1.32 (0.99-1.76)</v>
      </c>
      <c r="K17" t="s">
        <v>138</v>
      </c>
      <c r="L17">
        <v>1.3020042588079099</v>
      </c>
      <c r="M17">
        <v>1.3020042588079099</v>
      </c>
      <c r="N17">
        <v>1.3020042588079099</v>
      </c>
      <c r="O17">
        <v>3.4891570649176602</v>
      </c>
      <c r="P17">
        <v>1</v>
      </c>
      <c r="Q17">
        <v>6.1772030882931199E-2</v>
      </c>
      <c r="R17" t="s">
        <v>139</v>
      </c>
    </row>
    <row r="18" spans="1:18" x14ac:dyDescent="0.3">
      <c r="A18" t="s">
        <v>67</v>
      </c>
      <c r="B18">
        <v>0.46741615021966598</v>
      </c>
      <c r="C18">
        <v>0.164509529182609</v>
      </c>
      <c r="D18">
        <v>2.84127097404081</v>
      </c>
      <c r="E18">
        <v>4.4934114072754496E-3</v>
      </c>
      <c r="F18" t="s">
        <v>140</v>
      </c>
      <c r="G18">
        <v>1.5958653849799</v>
      </c>
      <c r="H18">
        <v>1.1560135284830899</v>
      </c>
      <c r="I18">
        <v>2.2030765767238898</v>
      </c>
      <c r="J18" t="str">
        <f t="shared" si="0"/>
        <v>1.6 (1.16-2.2)</v>
      </c>
      <c r="K18" t="s">
        <v>141</v>
      </c>
      <c r="L18">
        <v>1.1559588015247799</v>
      </c>
      <c r="M18">
        <v>1.1559588015247799</v>
      </c>
      <c r="N18">
        <v>1.1559588015247799</v>
      </c>
      <c r="O18">
        <v>8.0941446010090203</v>
      </c>
      <c r="P18">
        <v>1</v>
      </c>
      <c r="Q18">
        <v>4.4408492487213102E-3</v>
      </c>
      <c r="R18" t="s">
        <v>142</v>
      </c>
    </row>
    <row r="19" spans="1:18" x14ac:dyDescent="0.3">
      <c r="A19" t="s">
        <v>68</v>
      </c>
      <c r="B19">
        <v>0.19996128498972901</v>
      </c>
      <c r="C19">
        <v>0.15645520784970399</v>
      </c>
      <c r="D19">
        <v>1.2780736911092001</v>
      </c>
      <c r="E19">
        <v>0.20122344432699199</v>
      </c>
      <c r="F19" t="s">
        <v>143</v>
      </c>
      <c r="G19">
        <v>1.2213554724551801</v>
      </c>
      <c r="H19">
        <v>0.89880343007475905</v>
      </c>
      <c r="I19">
        <v>1.6596612119873</v>
      </c>
      <c r="J19" t="str">
        <f t="shared" si="0"/>
        <v>1.22 (0.9-1.66)</v>
      </c>
      <c r="K19" t="s">
        <v>144</v>
      </c>
      <c r="L19">
        <v>1.51688888820559</v>
      </c>
      <c r="M19">
        <v>1.51688888820559</v>
      </c>
      <c r="N19">
        <v>1.51688888820559</v>
      </c>
      <c r="O19">
        <v>1.6303439307846499</v>
      </c>
      <c r="P19">
        <v>1</v>
      </c>
      <c r="Q19">
        <v>0.20165548469543801</v>
      </c>
      <c r="R19" t="s">
        <v>145</v>
      </c>
    </row>
    <row r="20" spans="1:18" x14ac:dyDescent="0.3">
      <c r="A20" t="s">
        <v>69</v>
      </c>
      <c r="B20">
        <v>0.377789933650508</v>
      </c>
      <c r="C20">
        <v>0.14789794532140599</v>
      </c>
      <c r="D20">
        <v>2.5543960927213001</v>
      </c>
      <c r="E20">
        <v>1.06372173294281E-2</v>
      </c>
      <c r="F20" t="s">
        <v>123</v>
      </c>
      <c r="G20">
        <v>1.4590564120268401</v>
      </c>
      <c r="H20">
        <v>1.0918898047399901</v>
      </c>
      <c r="I20">
        <v>1.9496890659067601</v>
      </c>
      <c r="J20" t="str">
        <f t="shared" si="0"/>
        <v>1.46 (1.09-1.95)</v>
      </c>
      <c r="K20" t="s">
        <v>146</v>
      </c>
      <c r="L20">
        <v>1.3110119729737699</v>
      </c>
      <c r="M20">
        <v>1.3110119729737699</v>
      </c>
      <c r="N20">
        <v>1.3110119729737699</v>
      </c>
      <c r="O20">
        <v>6.5155533402428301</v>
      </c>
      <c r="P20">
        <v>1</v>
      </c>
      <c r="Q20">
        <v>1.06935043613232E-2</v>
      </c>
      <c r="R20" t="s">
        <v>147</v>
      </c>
    </row>
    <row r="21" spans="1:18" x14ac:dyDescent="0.3">
      <c r="A21" t="s">
        <v>70</v>
      </c>
      <c r="B21">
        <v>0.31119452373440598</v>
      </c>
      <c r="C21">
        <v>0.37227810081900897</v>
      </c>
      <c r="D21">
        <v>0.83591949956169898</v>
      </c>
      <c r="E21">
        <v>0.40320019172773303</v>
      </c>
      <c r="F21" t="s">
        <v>148</v>
      </c>
      <c r="G21">
        <v>1.3650547309052801</v>
      </c>
      <c r="H21">
        <v>0.65805250640598201</v>
      </c>
      <c r="I21">
        <v>2.8316500586615501</v>
      </c>
      <c r="J21" t="str">
        <f t="shared" si="0"/>
        <v>1.37 (0.66-2.83)</v>
      </c>
      <c r="K21" t="s">
        <v>149</v>
      </c>
      <c r="L21">
        <v>2.8668184765626101</v>
      </c>
      <c r="M21">
        <v>4.5569674960369602</v>
      </c>
      <c r="N21">
        <v>2.87361323138389</v>
      </c>
      <c r="O21">
        <v>16.131680495505901</v>
      </c>
      <c r="P21">
        <v>4</v>
      </c>
      <c r="Q21">
        <v>2.84746339910982E-3</v>
      </c>
      <c r="R21" t="s">
        <v>150</v>
      </c>
    </row>
    <row r="22" spans="1:18" x14ac:dyDescent="0.3">
      <c r="A22" t="s">
        <v>71</v>
      </c>
      <c r="B22">
        <v>0.16105422085429499</v>
      </c>
      <c r="C22">
        <v>0.367097685845787</v>
      </c>
      <c r="D22">
        <v>0.43872306218228801</v>
      </c>
      <c r="E22">
        <v>0.66086221438533299</v>
      </c>
      <c r="F22" t="s">
        <v>151</v>
      </c>
      <c r="G22">
        <v>1.17474866296317</v>
      </c>
      <c r="H22">
        <v>0.57209098051653595</v>
      </c>
      <c r="I22">
        <v>2.4122639023040202</v>
      </c>
      <c r="J22" t="str">
        <f t="shared" si="0"/>
        <v>1.17 (0.57-2.41)</v>
      </c>
      <c r="K22" t="s">
        <v>149</v>
      </c>
      <c r="L22">
        <v>2.8668184765626101</v>
      </c>
      <c r="M22">
        <v>4.5569674960369602</v>
      </c>
      <c r="N22">
        <v>2.2918232065053501</v>
      </c>
      <c r="O22">
        <v>16.131680495505901</v>
      </c>
      <c r="P22">
        <v>4</v>
      </c>
      <c r="Q22">
        <v>2.84746339910982E-3</v>
      </c>
      <c r="R22" t="s">
        <v>150</v>
      </c>
    </row>
    <row r="23" spans="1:18" x14ac:dyDescent="0.3">
      <c r="A23" t="s">
        <v>72</v>
      </c>
      <c r="B23">
        <v>1.0953603177198501</v>
      </c>
      <c r="C23">
        <v>0.85410729342172098</v>
      </c>
      <c r="D23">
        <v>1.2824621990190701</v>
      </c>
      <c r="E23">
        <v>0.199680557167563</v>
      </c>
      <c r="F23" t="s">
        <v>152</v>
      </c>
      <c r="G23">
        <v>2.9902599329464401</v>
      </c>
      <c r="H23">
        <v>0.56063232673398</v>
      </c>
      <c r="I23">
        <v>15.949230966889401</v>
      </c>
      <c r="J23" t="str">
        <f t="shared" si="0"/>
        <v>2.99 (0.56-15.95)</v>
      </c>
      <c r="K23" t="s">
        <v>149</v>
      </c>
      <c r="L23">
        <v>2.8668184765626101</v>
      </c>
      <c r="M23">
        <v>4.5569674960369602</v>
      </c>
      <c r="N23">
        <v>4.5569674960369602</v>
      </c>
      <c r="O23">
        <v>16.131680495505901</v>
      </c>
      <c r="P23">
        <v>4</v>
      </c>
      <c r="Q23">
        <v>2.84746339910982E-3</v>
      </c>
      <c r="R23" t="s">
        <v>150</v>
      </c>
    </row>
    <row r="24" spans="1:18" x14ac:dyDescent="0.3">
      <c r="A24" t="s">
        <v>73</v>
      </c>
      <c r="B24">
        <v>1.73702938441669</v>
      </c>
      <c r="C24">
        <v>0.47984673330330102</v>
      </c>
      <c r="D24">
        <v>3.6199670933651098</v>
      </c>
      <c r="E24">
        <v>2.94640484210539E-4</v>
      </c>
      <c r="F24" t="s">
        <v>153</v>
      </c>
      <c r="G24">
        <v>5.6804439189093197</v>
      </c>
      <c r="H24">
        <v>2.2178312126613502</v>
      </c>
      <c r="I24">
        <v>14.5490977544471</v>
      </c>
      <c r="J24" t="str">
        <f t="shared" si="0"/>
        <v>5.68 (2.22-14.55)</v>
      </c>
      <c r="K24" t="s">
        <v>149</v>
      </c>
      <c r="L24">
        <v>2.8668184765626101</v>
      </c>
      <c r="M24">
        <v>4.5569674960369602</v>
      </c>
      <c r="N24">
        <v>1.74486997232425</v>
      </c>
      <c r="O24">
        <v>16.131680495505901</v>
      </c>
      <c r="P24">
        <v>4</v>
      </c>
      <c r="Q24">
        <v>2.84746339910982E-3</v>
      </c>
      <c r="R24" t="s">
        <v>150</v>
      </c>
    </row>
    <row r="25" spans="1:18" x14ac:dyDescent="0.3">
      <c r="A25" t="s">
        <v>74</v>
      </c>
      <c r="B25">
        <v>-0.32901203677986002</v>
      </c>
      <c r="C25">
        <v>0.24351446358433301</v>
      </c>
      <c r="D25">
        <v>-1.3510985423086299</v>
      </c>
      <c r="E25">
        <v>0.17666386836738299</v>
      </c>
      <c r="F25" t="s">
        <v>154</v>
      </c>
      <c r="G25">
        <v>0.71963435461463698</v>
      </c>
      <c r="H25">
        <v>0.44650691779437202</v>
      </c>
      <c r="I25">
        <v>1.1598333277786299</v>
      </c>
      <c r="J25" t="str">
        <f t="shared" si="0"/>
        <v>0.72 (0.45-1.16)</v>
      </c>
      <c r="K25" t="s">
        <v>155</v>
      </c>
      <c r="L25">
        <v>1.5535770623604499</v>
      </c>
      <c r="M25">
        <v>1.82329238287093</v>
      </c>
      <c r="N25">
        <v>1.3314645794031299</v>
      </c>
      <c r="O25">
        <v>22.348210632301999</v>
      </c>
      <c r="P25">
        <v>4</v>
      </c>
      <c r="Q25">
        <v>1.7083811680383199E-4</v>
      </c>
      <c r="R25" t="s">
        <v>156</v>
      </c>
    </row>
    <row r="26" spans="1:18" x14ac:dyDescent="0.3">
      <c r="A26" t="s">
        <v>75</v>
      </c>
      <c r="B26">
        <v>-0.49496274734568402</v>
      </c>
      <c r="C26">
        <v>0.31438824664050502</v>
      </c>
      <c r="D26">
        <v>-1.57436784814561</v>
      </c>
      <c r="E26">
        <v>0.11540243242913401</v>
      </c>
      <c r="F26" t="s">
        <v>157</v>
      </c>
      <c r="G26">
        <v>0.60959361585357397</v>
      </c>
      <c r="H26">
        <v>0.32917567282736199</v>
      </c>
      <c r="I26">
        <v>1.12889380098366</v>
      </c>
      <c r="J26" t="str">
        <f t="shared" si="0"/>
        <v>0.61 (0.33-1.13)</v>
      </c>
      <c r="K26" t="s">
        <v>155</v>
      </c>
      <c r="L26">
        <v>1.5535770623604499</v>
      </c>
      <c r="M26">
        <v>1.82329238287093</v>
      </c>
      <c r="N26">
        <v>1.82329238287093</v>
      </c>
      <c r="O26">
        <v>22.348210632301999</v>
      </c>
      <c r="P26">
        <v>4</v>
      </c>
      <c r="Q26">
        <v>1.7083811680383199E-4</v>
      </c>
      <c r="R26" t="s">
        <v>156</v>
      </c>
    </row>
    <row r="27" spans="1:18" x14ac:dyDescent="0.3">
      <c r="A27" t="s">
        <v>76</v>
      </c>
      <c r="B27">
        <v>0.394067915055274</v>
      </c>
      <c r="C27">
        <v>0.40955659582418003</v>
      </c>
      <c r="D27">
        <v>0.96218183048001804</v>
      </c>
      <c r="E27">
        <v>0.33595827442077397</v>
      </c>
      <c r="F27" t="s">
        <v>158</v>
      </c>
      <c r="G27">
        <v>1.4830012633674701</v>
      </c>
      <c r="H27">
        <v>0.664538135465914</v>
      </c>
      <c r="I27">
        <v>3.3095056999363299</v>
      </c>
      <c r="J27" t="str">
        <f t="shared" si="0"/>
        <v>1.48 (0.66-3.31)</v>
      </c>
      <c r="K27" t="s">
        <v>155</v>
      </c>
      <c r="L27">
        <v>1.5535770623604499</v>
      </c>
      <c r="M27">
        <v>1.82329238287093</v>
      </c>
      <c r="N27">
        <v>1.50335249547514</v>
      </c>
      <c r="O27">
        <v>22.348210632301999</v>
      </c>
      <c r="P27">
        <v>4</v>
      </c>
      <c r="Q27">
        <v>1.7083811680383199E-4</v>
      </c>
      <c r="R27" t="s">
        <v>156</v>
      </c>
    </row>
    <row r="28" spans="1:18" x14ac:dyDescent="0.3">
      <c r="A28" t="s">
        <v>77</v>
      </c>
      <c r="B28">
        <v>1.2656891662547201</v>
      </c>
      <c r="C28">
        <v>0.38003442668417198</v>
      </c>
      <c r="D28">
        <v>3.3304592357538598</v>
      </c>
      <c r="E28">
        <v>8.6702857702756304E-4</v>
      </c>
      <c r="F28" t="s">
        <v>159</v>
      </c>
      <c r="G28">
        <v>3.5455353576495598</v>
      </c>
      <c r="H28">
        <v>1.68341032290712</v>
      </c>
      <c r="I28">
        <v>7.4674729038339098</v>
      </c>
      <c r="J28" t="str">
        <f t="shared" si="0"/>
        <v>3.55 (1.68-7.47)</v>
      </c>
      <c r="K28" t="s">
        <v>155</v>
      </c>
      <c r="L28">
        <v>1.5535770623604499</v>
      </c>
      <c r="M28">
        <v>1.82329238287093</v>
      </c>
      <c r="N28">
        <v>1.5561987916925999</v>
      </c>
      <c r="O28">
        <v>22.348210632301999</v>
      </c>
      <c r="P28">
        <v>4</v>
      </c>
      <c r="Q28">
        <v>1.7083811680383199E-4</v>
      </c>
      <c r="R28" t="s">
        <v>156</v>
      </c>
    </row>
    <row r="29" spans="1:18" x14ac:dyDescent="0.3">
      <c r="A29" t="s">
        <v>78</v>
      </c>
      <c r="B29">
        <v>-0.56806007493222099</v>
      </c>
      <c r="C29">
        <v>0.61139448728184698</v>
      </c>
      <c r="D29">
        <v>-0.92912201000980099</v>
      </c>
      <c r="E29">
        <v>0.35282585913293302</v>
      </c>
      <c r="F29" t="s">
        <v>160</v>
      </c>
      <c r="G29">
        <v>0.56662358048654005</v>
      </c>
      <c r="H29">
        <v>0.17094844314700799</v>
      </c>
      <c r="I29">
        <v>1.8781234625651799</v>
      </c>
      <c r="J29" t="str">
        <f t="shared" si="0"/>
        <v>0.57 (0.17-1.88)</v>
      </c>
      <c r="K29" t="s">
        <v>161</v>
      </c>
      <c r="L29">
        <v>11.7428073520197</v>
      </c>
      <c r="M29">
        <v>22.342703282664601</v>
      </c>
      <c r="N29">
        <v>9.1399317039247201</v>
      </c>
      <c r="O29">
        <v>11.9540741920503</v>
      </c>
      <c r="P29">
        <v>4</v>
      </c>
      <c r="Q29">
        <v>1.7696069005014699E-2</v>
      </c>
      <c r="R29" t="s">
        <v>162</v>
      </c>
    </row>
    <row r="30" spans="1:18" x14ac:dyDescent="0.3">
      <c r="A30" t="s">
        <v>79</v>
      </c>
      <c r="B30">
        <v>0.40963897137326399</v>
      </c>
      <c r="C30">
        <v>0.86519461849749302</v>
      </c>
      <c r="D30">
        <v>0.47346453920928</v>
      </c>
      <c r="E30">
        <v>0.63588179438570003</v>
      </c>
      <c r="F30" t="s">
        <v>163</v>
      </c>
      <c r="G30">
        <v>1.50627387894591</v>
      </c>
      <c r="H30">
        <v>0.276334696111315</v>
      </c>
      <c r="I30">
        <v>8.2105541950504595</v>
      </c>
      <c r="J30" t="str">
        <f t="shared" si="0"/>
        <v>1.51 (0.28-8.21)</v>
      </c>
      <c r="K30" t="s">
        <v>161</v>
      </c>
      <c r="L30">
        <v>11.7428073520197</v>
      </c>
      <c r="M30">
        <v>22.342703282664601</v>
      </c>
      <c r="N30">
        <v>4.6464544605527998</v>
      </c>
      <c r="O30">
        <v>11.9540741920503</v>
      </c>
      <c r="P30">
        <v>4</v>
      </c>
      <c r="Q30">
        <v>1.7696069005014699E-2</v>
      </c>
      <c r="R30" t="s">
        <v>162</v>
      </c>
    </row>
    <row r="31" spans="1:18" x14ac:dyDescent="0.3">
      <c r="A31" t="s">
        <v>80</v>
      </c>
      <c r="B31">
        <v>4.4410773565688899E-2</v>
      </c>
      <c r="C31">
        <v>1.61964531311434</v>
      </c>
      <c r="D31">
        <v>2.7420061173945201E-2</v>
      </c>
      <c r="E31">
        <v>0.97812469776061195</v>
      </c>
      <c r="F31" t="s">
        <v>164</v>
      </c>
      <c r="G31">
        <v>1.0454116941910201</v>
      </c>
      <c r="H31">
        <v>4.3713686218349798E-2</v>
      </c>
      <c r="I31">
        <v>25.000994079803402</v>
      </c>
      <c r="J31" t="str">
        <f t="shared" si="0"/>
        <v>1.05 (0.04-25)</v>
      </c>
      <c r="K31" t="s">
        <v>161</v>
      </c>
      <c r="L31">
        <v>11.7428073520197</v>
      </c>
      <c r="M31">
        <v>22.342703282664601</v>
      </c>
      <c r="N31">
        <v>22.342703282664601</v>
      </c>
      <c r="O31">
        <v>11.9540741920503</v>
      </c>
      <c r="P31">
        <v>4</v>
      </c>
      <c r="Q31">
        <v>1.7696069005014699E-2</v>
      </c>
      <c r="R31" t="s">
        <v>162</v>
      </c>
    </row>
    <row r="32" spans="1:18" x14ac:dyDescent="0.3">
      <c r="A32" t="s">
        <v>81</v>
      </c>
      <c r="B32">
        <v>2.9227263038038802</v>
      </c>
      <c r="C32">
        <v>2.2761573797052499</v>
      </c>
      <c r="D32">
        <v>1.2840616074545601</v>
      </c>
      <c r="E32">
        <v>0.19912040007199699</v>
      </c>
      <c r="F32" t="s">
        <v>165</v>
      </c>
      <c r="G32">
        <v>18.591905611154001</v>
      </c>
      <c r="H32">
        <v>0.21469386260460199</v>
      </c>
      <c r="I32">
        <v>1610.00854919945</v>
      </c>
      <c r="J32" t="str">
        <f t="shared" si="0"/>
        <v>18.59 (0.21-1610.01)</v>
      </c>
      <c r="K32" t="s">
        <v>161</v>
      </c>
      <c r="L32">
        <v>11.7428073520197</v>
      </c>
      <c r="M32">
        <v>22.342703282664601</v>
      </c>
      <c r="N32">
        <v>10.842139960936899</v>
      </c>
      <c r="O32">
        <v>11.9540741920503</v>
      </c>
      <c r="P32">
        <v>4</v>
      </c>
      <c r="Q32">
        <v>1.7696069005014699E-2</v>
      </c>
      <c r="R32" t="s">
        <v>162</v>
      </c>
    </row>
    <row r="33" spans="1:18" x14ac:dyDescent="0.3">
      <c r="A33" t="s">
        <v>82</v>
      </c>
      <c r="B33">
        <v>-1.00549625312001</v>
      </c>
      <c r="C33">
        <v>0.39341181102777301</v>
      </c>
      <c r="D33">
        <v>-2.5558364668645601</v>
      </c>
      <c r="E33">
        <v>1.05932890757784E-2</v>
      </c>
      <c r="F33" t="s">
        <v>123</v>
      </c>
      <c r="G33">
        <v>0.36586302907686102</v>
      </c>
      <c r="H33">
        <v>0.16921530129141599</v>
      </c>
      <c r="I33">
        <v>0.79103813321689498</v>
      </c>
      <c r="J33" t="str">
        <f t="shared" si="0"/>
        <v>0.37 (0.17-0.79)</v>
      </c>
      <c r="K33" t="s">
        <v>166</v>
      </c>
      <c r="L33">
        <v>3.1569632320416199</v>
      </c>
      <c r="M33">
        <v>4.4221460493822304</v>
      </c>
      <c r="N33">
        <v>3.81107238424952</v>
      </c>
      <c r="O33">
        <v>9.3750050381470391</v>
      </c>
      <c r="P33">
        <v>4</v>
      </c>
      <c r="Q33">
        <v>5.2379955373309202E-2</v>
      </c>
      <c r="R33" t="s">
        <v>167</v>
      </c>
    </row>
    <row r="34" spans="1:18" x14ac:dyDescent="0.3">
      <c r="A34" t="s">
        <v>83</v>
      </c>
      <c r="B34">
        <v>-0.182438783471988</v>
      </c>
      <c r="C34">
        <v>0.353111676222506</v>
      </c>
      <c r="D34">
        <v>-0.51666029688870596</v>
      </c>
      <c r="E34">
        <v>0.605393316205036</v>
      </c>
      <c r="F34" t="s">
        <v>168</v>
      </c>
      <c r="G34">
        <v>0.83323565016062096</v>
      </c>
      <c r="H34">
        <v>0.41705479252692401</v>
      </c>
      <c r="I34">
        <v>1.66472526185818</v>
      </c>
      <c r="J34" t="str">
        <f t="shared" si="0"/>
        <v>0.83 (0.42-1.66)</v>
      </c>
      <c r="K34" t="s">
        <v>166</v>
      </c>
      <c r="L34">
        <v>3.1569632320416199</v>
      </c>
      <c r="M34">
        <v>4.4221460493822304</v>
      </c>
      <c r="N34">
        <v>2.5687174856591199</v>
      </c>
      <c r="O34">
        <v>9.3750050381470391</v>
      </c>
      <c r="P34">
        <v>4</v>
      </c>
      <c r="Q34">
        <v>5.2379955373309202E-2</v>
      </c>
      <c r="R34" t="s">
        <v>167</v>
      </c>
    </row>
    <row r="35" spans="1:18" x14ac:dyDescent="0.3">
      <c r="A35" t="s">
        <v>84</v>
      </c>
      <c r="B35">
        <v>-1.2353874211489599</v>
      </c>
      <c r="C35">
        <v>0.91281302726069802</v>
      </c>
      <c r="D35">
        <v>-1.3533849586440401</v>
      </c>
      <c r="E35">
        <v>0.17593268015161601</v>
      </c>
      <c r="F35" t="s">
        <v>169</v>
      </c>
      <c r="G35">
        <v>0.29072210865368098</v>
      </c>
      <c r="H35">
        <v>4.8582059875902903E-2</v>
      </c>
      <c r="I35">
        <v>1.73972336035025</v>
      </c>
      <c r="J35" t="str">
        <f t="shared" si="0"/>
        <v>0.29 (0.05-1.74)</v>
      </c>
      <c r="K35" t="s">
        <v>166</v>
      </c>
      <c r="L35">
        <v>3.1569632320416199</v>
      </c>
      <c r="M35">
        <v>4.4221460493822304</v>
      </c>
      <c r="N35">
        <v>4.4221460493822304</v>
      </c>
      <c r="O35">
        <v>9.3750050381470391</v>
      </c>
      <c r="P35">
        <v>4</v>
      </c>
      <c r="Q35">
        <v>5.2379955373309202E-2</v>
      </c>
      <c r="R35" t="s">
        <v>167</v>
      </c>
    </row>
    <row r="36" spans="1:18" x14ac:dyDescent="0.3">
      <c r="A36" t="s">
        <v>85</v>
      </c>
      <c r="B36">
        <v>-0.97399718405191804</v>
      </c>
      <c r="C36">
        <v>0.59810287911693305</v>
      </c>
      <c r="D36">
        <v>-1.6284776717510101</v>
      </c>
      <c r="E36">
        <v>0.10342363993291501</v>
      </c>
      <c r="F36" t="s">
        <v>170</v>
      </c>
      <c r="G36">
        <v>0.37757079779404501</v>
      </c>
      <c r="H36">
        <v>0.116918422949011</v>
      </c>
      <c r="I36">
        <v>1.2193091879883</v>
      </c>
      <c r="J36" t="str">
        <f t="shared" si="0"/>
        <v>0.38 (0.12-1.22)</v>
      </c>
      <c r="K36" t="s">
        <v>166</v>
      </c>
      <c r="L36">
        <v>3.1569632320416199</v>
      </c>
      <c r="M36">
        <v>4.4221460493822304</v>
      </c>
      <c r="N36">
        <v>1.82591700887563</v>
      </c>
      <c r="O36">
        <v>9.3750050381470391</v>
      </c>
      <c r="P36">
        <v>4</v>
      </c>
      <c r="Q36">
        <v>5.2379955373309202E-2</v>
      </c>
      <c r="R36" t="s">
        <v>167</v>
      </c>
    </row>
    <row r="37" spans="1:18" x14ac:dyDescent="0.3">
      <c r="A37" t="s">
        <v>86</v>
      </c>
      <c r="B37">
        <v>0.27266050556180699</v>
      </c>
      <c r="C37">
        <v>0.54406338900559603</v>
      </c>
      <c r="D37">
        <v>0.50115576800739703</v>
      </c>
      <c r="E37">
        <v>0.61626150104978805</v>
      </c>
      <c r="F37" t="s">
        <v>171</v>
      </c>
      <c r="G37">
        <v>1.3134542587084701</v>
      </c>
      <c r="H37">
        <v>0.45216698257848997</v>
      </c>
      <c r="I37">
        <v>3.8153207911856901</v>
      </c>
      <c r="J37" t="str">
        <f t="shared" si="0"/>
        <v>1.31 (0.45-3.82)</v>
      </c>
      <c r="K37" t="s">
        <v>172</v>
      </c>
      <c r="L37">
        <v>6.1219432246605896</v>
      </c>
      <c r="M37">
        <v>12.031904196611601</v>
      </c>
      <c r="N37">
        <v>6.8666867937356502</v>
      </c>
      <c r="O37">
        <v>37.362533311214698</v>
      </c>
      <c r="P37">
        <v>4</v>
      </c>
      <c r="Q37">
        <v>1.5166383101044701E-7</v>
      </c>
      <c r="R37" t="s">
        <v>173</v>
      </c>
    </row>
    <row r="38" spans="1:18" x14ac:dyDescent="0.3">
      <c r="A38" t="s">
        <v>87</v>
      </c>
      <c r="B38">
        <v>1.9966159573064699</v>
      </c>
      <c r="C38">
        <v>0.60544805157999704</v>
      </c>
      <c r="D38">
        <v>3.2977494140018102</v>
      </c>
      <c r="E38">
        <v>9.7463072132794397E-4</v>
      </c>
      <c r="F38" t="s">
        <v>174</v>
      </c>
      <c r="G38">
        <v>7.36409347873537</v>
      </c>
      <c r="H38">
        <v>2.2477681176728801</v>
      </c>
      <c r="I38">
        <v>24.126097499637599</v>
      </c>
      <c r="J38" t="str">
        <f t="shared" si="0"/>
        <v>7.36 (2.25-24.13)</v>
      </c>
      <c r="K38" t="s">
        <v>172</v>
      </c>
      <c r="L38">
        <v>6.1219432246605896</v>
      </c>
      <c r="M38">
        <v>12.031904196611601</v>
      </c>
      <c r="N38">
        <v>3.3055491060661502</v>
      </c>
      <c r="O38">
        <v>37.362533311214698</v>
      </c>
      <c r="P38">
        <v>4</v>
      </c>
      <c r="Q38">
        <v>1.5166383101044701E-7</v>
      </c>
      <c r="R38" t="s">
        <v>173</v>
      </c>
    </row>
    <row r="39" spans="1:18" x14ac:dyDescent="0.3">
      <c r="A39" t="s">
        <v>88</v>
      </c>
      <c r="B39">
        <v>2.6541259332805298</v>
      </c>
      <c r="C39">
        <v>1.3370569800140799</v>
      </c>
      <c r="D39">
        <v>1.98505072929097</v>
      </c>
      <c r="E39">
        <v>4.7138827745277299E-2</v>
      </c>
      <c r="F39" t="s">
        <v>175</v>
      </c>
      <c r="G39">
        <v>14.2125579047405</v>
      </c>
      <c r="H39">
        <v>1.0340615003920599</v>
      </c>
      <c r="I39">
        <v>195.343122356858</v>
      </c>
      <c r="J39" t="str">
        <f t="shared" si="0"/>
        <v>14.21 (1.03-195.34)</v>
      </c>
      <c r="K39" t="s">
        <v>172</v>
      </c>
      <c r="L39">
        <v>6.1219432246605896</v>
      </c>
      <c r="M39">
        <v>12.031904196611601</v>
      </c>
      <c r="N39">
        <v>12.031904196611601</v>
      </c>
      <c r="O39">
        <v>37.362533311214698</v>
      </c>
      <c r="P39">
        <v>4</v>
      </c>
      <c r="Q39">
        <v>1.5166383101044701E-7</v>
      </c>
      <c r="R39" t="s">
        <v>173</v>
      </c>
    </row>
    <row r="40" spans="1:18" x14ac:dyDescent="0.3">
      <c r="A40" t="s">
        <v>89</v>
      </c>
      <c r="B40">
        <v>3.16719963145745</v>
      </c>
      <c r="C40">
        <v>1.17105783952584</v>
      </c>
      <c r="D40">
        <v>2.7045629383599401</v>
      </c>
      <c r="E40">
        <v>6.8394311821564002E-3</v>
      </c>
      <c r="F40" t="s">
        <v>176</v>
      </c>
      <c r="G40">
        <v>23.740907888990201</v>
      </c>
      <c r="H40">
        <v>2.3915131098768199</v>
      </c>
      <c r="I40">
        <v>235.679539060753</v>
      </c>
      <c r="J40" t="str">
        <f t="shared" si="0"/>
        <v>23.74 (2.39-235.68)</v>
      </c>
      <c r="K40" t="s">
        <v>172</v>
      </c>
      <c r="L40">
        <v>6.1219432246605896</v>
      </c>
      <c r="M40">
        <v>12.031904196611601</v>
      </c>
      <c r="N40">
        <v>2.2836328022289401</v>
      </c>
      <c r="O40">
        <v>37.362533311214698</v>
      </c>
      <c r="P40">
        <v>4</v>
      </c>
      <c r="Q40">
        <v>1.5166383101044701E-7</v>
      </c>
      <c r="R40" t="s">
        <v>173</v>
      </c>
    </row>
    <row r="41" spans="1:18" x14ac:dyDescent="0.3">
      <c r="A41" t="s">
        <v>90</v>
      </c>
      <c r="B41">
        <v>-0.44457170079621899</v>
      </c>
      <c r="C41">
        <v>0.47548255665384098</v>
      </c>
      <c r="D41">
        <v>-0.93499055764494599</v>
      </c>
      <c r="E41">
        <v>0.349793165590637</v>
      </c>
      <c r="F41" t="s">
        <v>177</v>
      </c>
      <c r="G41">
        <v>0.64109879934436897</v>
      </c>
      <c r="H41">
        <v>0.252456199702699</v>
      </c>
      <c r="I41">
        <v>1.6280355602469201</v>
      </c>
      <c r="J41" t="str">
        <f t="shared" si="0"/>
        <v>0.64 (0.25-1.63)</v>
      </c>
      <c r="K41" t="s">
        <v>178</v>
      </c>
      <c r="L41">
        <v>3.1583631745176199</v>
      </c>
      <c r="M41">
        <v>4.0143569573473803</v>
      </c>
      <c r="N41">
        <v>3.9764993883714301</v>
      </c>
      <c r="O41">
        <v>13.2731063525657</v>
      </c>
      <c r="P41">
        <v>4</v>
      </c>
      <c r="Q41">
        <v>1.00156457882415E-2</v>
      </c>
      <c r="R41" t="s">
        <v>179</v>
      </c>
    </row>
    <row r="42" spans="1:18" x14ac:dyDescent="0.3">
      <c r="A42" t="s">
        <v>91</v>
      </c>
      <c r="B42">
        <v>-1.0412960297162801</v>
      </c>
      <c r="C42">
        <v>0.39050763850728598</v>
      </c>
      <c r="D42">
        <v>-2.6665189794920101</v>
      </c>
      <c r="E42">
        <v>7.6641278800469101E-3</v>
      </c>
      <c r="F42" t="s">
        <v>180</v>
      </c>
      <c r="G42">
        <v>0.35299689090708403</v>
      </c>
      <c r="H42">
        <v>0.16419656509889399</v>
      </c>
      <c r="I42">
        <v>0.758888012760912</v>
      </c>
      <c r="J42" t="str">
        <f t="shared" si="0"/>
        <v>0.35 (0.16-0.76)</v>
      </c>
      <c r="K42" t="s">
        <v>178</v>
      </c>
      <c r="L42">
        <v>3.1583631745176199</v>
      </c>
      <c r="M42">
        <v>4.0143569573473803</v>
      </c>
      <c r="N42">
        <v>2.8171220169427502</v>
      </c>
      <c r="O42">
        <v>13.2731063525657</v>
      </c>
      <c r="P42">
        <v>4</v>
      </c>
      <c r="Q42">
        <v>1.00156457882415E-2</v>
      </c>
      <c r="R42" t="s">
        <v>179</v>
      </c>
    </row>
    <row r="43" spans="1:18" x14ac:dyDescent="0.3">
      <c r="A43" t="s">
        <v>92</v>
      </c>
      <c r="B43">
        <v>-0.70483674353209003</v>
      </c>
      <c r="C43">
        <v>1.0897523626838299</v>
      </c>
      <c r="D43">
        <v>-0.64678615772506598</v>
      </c>
      <c r="E43">
        <v>0.51777035233162805</v>
      </c>
      <c r="F43" t="s">
        <v>181</v>
      </c>
      <c r="G43">
        <v>0.494189247261755</v>
      </c>
      <c r="H43">
        <v>5.8381782903604601E-2</v>
      </c>
      <c r="I43">
        <v>4.1832057871953197</v>
      </c>
      <c r="J43" t="str">
        <f t="shared" si="0"/>
        <v>0.49 (0.06-4.18)</v>
      </c>
      <c r="K43" t="s">
        <v>178</v>
      </c>
      <c r="L43">
        <v>3.1583631745176199</v>
      </c>
      <c r="M43">
        <v>4.0143569573473803</v>
      </c>
      <c r="N43">
        <v>4.0143569573473803</v>
      </c>
      <c r="O43">
        <v>13.2731063525657</v>
      </c>
      <c r="P43">
        <v>4</v>
      </c>
      <c r="Q43">
        <v>1.00156457882415E-2</v>
      </c>
      <c r="R43" t="s">
        <v>179</v>
      </c>
    </row>
    <row r="44" spans="1:18" x14ac:dyDescent="0.3">
      <c r="A44" t="s">
        <v>93</v>
      </c>
      <c r="B44">
        <v>-0.17597522870372001</v>
      </c>
      <c r="C44">
        <v>0.63084693982709095</v>
      </c>
      <c r="D44">
        <v>-0.278950752700731</v>
      </c>
      <c r="E44">
        <v>0.78028261873384097</v>
      </c>
      <c r="F44" t="s">
        <v>182</v>
      </c>
      <c r="G44">
        <v>0.83863875724890202</v>
      </c>
      <c r="H44">
        <v>0.24354946125941501</v>
      </c>
      <c r="I44">
        <v>2.8877705642339899</v>
      </c>
      <c r="J44" t="str">
        <f t="shared" si="0"/>
        <v>0.84 (0.24-2.89)</v>
      </c>
      <c r="K44" t="s">
        <v>178</v>
      </c>
      <c r="L44">
        <v>3.1583631745176199</v>
      </c>
      <c r="M44">
        <v>4.0143569573473803</v>
      </c>
      <c r="N44">
        <v>1.8254743354089</v>
      </c>
      <c r="O44">
        <v>13.2731063525657</v>
      </c>
      <c r="P44">
        <v>4</v>
      </c>
      <c r="Q44">
        <v>1.00156457882415E-2</v>
      </c>
      <c r="R44" t="s">
        <v>179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183</v>
      </c>
    </row>
    <row r="2" spans="1:1" x14ac:dyDescent="0.3">
      <c r="A2" t="s">
        <v>184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2025-10-13T03:49:29Z</dcterms:created>
  <dcterms:modified xsi:type="dcterms:W3CDTF">2025-10-15T06:30:19Z</dcterms:modified>
</cp:coreProperties>
</file>