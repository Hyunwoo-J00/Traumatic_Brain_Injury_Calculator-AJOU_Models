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6Month\Full\Alternative\"/>
    </mc:Choice>
  </mc:AlternateContent>
  <xr:revisionPtr revIDLastSave="0" documentId="13_ncr:1_{26656B7B-B933-44AF-8542-184BFEE19EA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</calcChain>
</file>

<file path=xl/sharedStrings.xml><?xml version="1.0" encoding="utf-8"?>
<sst xmlns="http://schemas.openxmlformats.org/spreadsheetml/2006/main" count="308" uniqueCount="175">
  <si>
    <t>Item</t>
  </si>
  <si>
    <t>Value</t>
  </si>
  <si>
    <t>Formula</t>
  </si>
  <si>
    <t>GOSE_6_Unfav ~ Age + InjuryHx.InjCause + arr_GCS_derived + arr_pp_size + arr_pp_prompt + head_neck_AIS + EDH + contusion + SAH + IVH + MidlineShift + basal_cistern_compression + ns(Alk.Phosphatase, df = 4) + ns(CRP, df = 4) + ns(Albumin, df = 4) + ns(BUN, df = 4) + ns(Sodium, df = 4) + ns(aPTT, df = 4)</t>
  </si>
  <si>
    <t>N_total</t>
  </si>
  <si>
    <t>2722</t>
  </si>
  <si>
    <t>Pos_Level</t>
  </si>
  <si>
    <t>1</t>
  </si>
  <si>
    <t>Penalty</t>
  </si>
  <si>
    <t>elasticnet</t>
  </si>
  <si>
    <t>Alpha</t>
  </si>
  <si>
    <t>0.5</t>
  </si>
  <si>
    <t>Lambda_Chosen</t>
  </si>
  <si>
    <t>0.04</t>
  </si>
  <si>
    <t>Use_CV</t>
  </si>
  <si>
    <t>FALSE</t>
  </si>
  <si>
    <t>Choose</t>
  </si>
  <si>
    <t>nfolds</t>
  </si>
  <si>
    <t>Threshold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</si>
  <si>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</si>
  <si>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</si>
  <si>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</si>
  <si>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</si>
  <si>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</si>
  <si>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</si>
  <si>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</si>
  <si>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</si>
  <si>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</si>
  <si>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</si>
  <si>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</si>
  <si>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</si>
  <si>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</si>
  <si>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</si>
  <si>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</si>
  <si>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</si>
  <si>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</si>
  <si>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</si>
  <si>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</si>
  <si>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</si>
  <si>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</si>
  <si>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</si>
  <si>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</si>
  <si>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</si>
  <si>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</si>
  <si>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</si>
  <si>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</si>
  <si>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</si>
  <si>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</si>
  <si>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</si>
  <si>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lambda=0.04</t>
  </si>
  <si>
    <t>(Intercept)</t>
  </si>
  <si>
    <t>Age</t>
  </si>
  <si>
    <t>InjuryHx.InjCause1</t>
  </si>
  <si>
    <t>InjuryHx.InjCause3</t>
  </si>
  <si>
    <t>InjuryHx.InjCause88</t>
  </si>
  <si>
    <t>arr_GCS_derived</t>
  </si>
  <si>
    <t>arr_pp_sizebilaterally mydriatic</t>
  </si>
  <si>
    <t>arr_pp_promptbilateral absence</t>
  </si>
  <si>
    <t>head_neck_AIS4</t>
  </si>
  <si>
    <t>head_neck_AIS5</t>
  </si>
  <si>
    <t>EDHpresent</t>
  </si>
  <si>
    <t>contusionpresent</t>
  </si>
  <si>
    <t>SAHpresent</t>
  </si>
  <si>
    <t>IVHpresent</t>
  </si>
  <si>
    <t>MidlineShiftpresent</t>
  </si>
  <si>
    <t>basal_cistern_compressionpresent</t>
  </si>
  <si>
    <t>ns(Alk.Phosphatase, df = 4)1</t>
  </si>
  <si>
    <t>ns(Alk.Phosphatase, df = 4)2</t>
  </si>
  <si>
    <t>ns(Alk.Phosphatase, df = 4)3</t>
  </si>
  <si>
    <t>ns(Alk.Phosphatase, df = 4)4</t>
  </si>
  <si>
    <t>ns(CRP, df = 4)1</t>
  </si>
  <si>
    <t>ns(CRP, df = 4)2</t>
  </si>
  <si>
    <t>ns(CRP, df = 4)3</t>
  </si>
  <si>
    <t>ns(CRP, df = 4)4</t>
  </si>
  <si>
    <t>ns(Albumin, df = 4)1</t>
  </si>
  <si>
    <t>ns(Albumin, df = 4)2</t>
  </si>
  <si>
    <t>ns(Albumin, df = 4)3</t>
  </si>
  <si>
    <t>ns(Albumin, df = 4)4</t>
  </si>
  <si>
    <t>ns(BUN, df = 4)1</t>
  </si>
  <si>
    <t>ns(BUN, df = 4)2</t>
  </si>
  <si>
    <t>ns(BUN, df = 4)3</t>
  </si>
  <si>
    <t>ns(BUN, df = 4)4</t>
  </si>
  <si>
    <t>ns(Sodium, df = 4)1</t>
  </si>
  <si>
    <t>ns(Sodium, df = 4)2</t>
  </si>
  <si>
    <t>ns(Sodium, df = 4)3</t>
  </si>
  <si>
    <t>ns(Sodium, df = 4)4</t>
  </si>
  <si>
    <t>ns(aPTT, df = 4)1</t>
  </si>
  <si>
    <t>ns(aPTT, df = 4)2</t>
  </si>
  <si>
    <t>ns(aPTT, df = 4)3</t>
  </si>
  <si>
    <t>ns(aPTT, df = 4)4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</si>
  <si>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</si>
  <si>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</si>
  <si>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</si>
  <si>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</si>
  <si>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</si>
  <si>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</si>
  <si>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</si>
  <si>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</si>
  <si>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</si>
  <si>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</si>
  <si>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</si>
  <si>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</si>
  <si>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</si>
  <si>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</si>
  <si>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&lt; 1e-16</t>
  </si>
  <si>
    <t>0.0394</t>
  </si>
  <si>
    <t>InjuryHx.InjCause</t>
  </si>
  <si>
    <t>0.0122</t>
  </si>
  <si>
    <t>0.919</t>
  </si>
  <si>
    <t>0.0392</t>
  </si>
  <si>
    <t>0.00648</t>
  </si>
  <si>
    <t>arr_pp_size</t>
  </si>
  <si>
    <t>0.00307</t>
  </si>
  <si>
    <t>1.71e-06</t>
  </si>
  <si>
    <t>arr_pp_prompt</t>
  </si>
  <si>
    <t>8.77e-07</t>
  </si>
  <si>
    <t>3.58e-05</t>
  </si>
  <si>
    <t>head_neck_AIS</t>
  </si>
  <si>
    <t>1.48e-08</t>
  </si>
  <si>
    <t>EDH</t>
  </si>
  <si>
    <t>8.08e-09</t>
  </si>
  <si>
    <t>9.47e-06</t>
  </si>
  <si>
    <t>contusion</t>
  </si>
  <si>
    <t>7.56e-06</t>
  </si>
  <si>
    <t>0.0154</t>
  </si>
  <si>
    <t>SAH</t>
  </si>
  <si>
    <t>0.015</t>
  </si>
  <si>
    <t>0.000862</t>
  </si>
  <si>
    <t>IVH</t>
  </si>
  <si>
    <t>0.000838</t>
  </si>
  <si>
    <t>0.0653</t>
  </si>
  <si>
    <t>MidlineShift</t>
  </si>
  <si>
    <t>0.0655</t>
  </si>
  <si>
    <t>0.00503</t>
  </si>
  <si>
    <t>basal_cistern_compression</t>
  </si>
  <si>
    <t>0.00504</t>
  </si>
  <si>
    <t>0.267</t>
  </si>
  <si>
    <t>ns(Alk.Phosphatase, df = 4)</t>
  </si>
  <si>
    <t>0.00275</t>
  </si>
  <si>
    <t>0.453</t>
  </si>
  <si>
    <t>0.121</t>
  </si>
  <si>
    <t>0.00036</t>
  </si>
  <si>
    <t>0.177</t>
  </si>
  <si>
    <t>ns(CRP, df = 4)</t>
  </si>
  <si>
    <t>0.000231</t>
  </si>
  <si>
    <t>0.192</t>
  </si>
  <si>
    <t>0.246</t>
  </si>
  <si>
    <t>0.000977</t>
  </si>
  <si>
    <t>0.346</t>
  </si>
  <si>
    <t>ns(Albumin, df = 4)</t>
  </si>
  <si>
    <t>0.00326</t>
  </si>
  <si>
    <t>0.00804</t>
  </si>
  <si>
    <t>0.656</t>
  </si>
  <si>
    <t>0.659</t>
  </si>
  <si>
    <t>0.291</t>
  </si>
  <si>
    <t>ns(BUN, df = 4)</t>
  </si>
  <si>
    <t>0.0203</t>
  </si>
  <si>
    <t>0.88</t>
  </si>
  <si>
    <t>0.997</t>
  </si>
  <si>
    <t>0.142</t>
  </si>
  <si>
    <t>0.0104</t>
  </si>
  <si>
    <t>ns(Sodium, df = 4)</t>
  </si>
  <si>
    <t>0.0471</t>
  </si>
  <si>
    <t>0.544</t>
  </si>
  <si>
    <t>0.195</t>
  </si>
  <si>
    <t>0.131</t>
  </si>
  <si>
    <t>0.62</t>
  </si>
  <si>
    <t>ns(aPTT, df = 4)</t>
  </si>
  <si>
    <t>1.65e-08</t>
  </si>
  <si>
    <t>0.000406</t>
  </si>
  <si>
    <t>0.0404</t>
  </si>
  <si>
    <t>0.00694</t>
  </si>
  <si>
    <t>JSON</t>
  </si>
  <si>
    <t>{"formula":"GOSE_6_Unfav ~ Age + InjuryHx.InjCause + arr_GCS_derived + arr_pp_size + arr_pp_prompt + head_neck_AIS + EDH + contusion + SAH + IVH + MidlineShift + basal_cistern_compression + ns(Alk.Phosphatase, df = 4) + ns(CRP, df = 4) + ns(Albumin, df = 4) + ns(BUN, df = 4) + ns(Sodium, df = 4) + ns(aPTT, df = 4)","penalty":"elasticnet","alpha":0.5,"lambda":0.04,"x_names":["Age","InjuryHx.InjCause1","InjuryHx.InjCause3","InjuryHx.InjCause88","arr_GCS_derived","arr_pp_sizebilaterally mydriatic","arr_pp_promptbilateral absence","head_neck_AIS4","head_neck_AIS5","EDHpresent","contusionpresent","SAHpresent","IVHpresent","MidlineShiftpresent","basal_cistern_compressionpresent","ns(Alk.Phosphatase, df = 4)1","ns(Alk.Phosphatase, df = 4)2","ns(Alk.Phosphatase, df = 4)3","ns(Alk.Phosphatase, df = 4)4","ns(CRP, df = 4)1","ns(CRP, df = 4)2","ns(CRP, df = 4)3","ns(CRP, df = 4)4","ns(Albumin, df = 4)1","ns(Albumin, df = 4)2","ns(Albumin, df = 4)3","ns(Albumin, df = 4)4","ns(BUN, df = 4)1","ns(BUN, df = 4)2","ns(BUN, df = 4)3","ns(BUN, df = 4)4","ns(Sodium, df = 4)1","ns(Sodium, df = 4)2","ns(Sodium, df = 4)3","ns(Sodium, df = 4)4","ns(aPTT, df = 4)1","ns(aPTT, df = 4)2","ns(aPTT, df = 4)3","ns(aPTT, df = 4)4"],"train_test":false,"test_prop":{},"split_seed":{},"standardize":true,"threshold":0.5,"family":"binomial","link":"logit"}</t>
  </si>
  <si>
    <t>OR (95% 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</si>
</sst>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</row>
    <row r="10" spans="1:2" x14ac:dyDescent="0.3">
      <c r="A10" t="s">
        <v>17</v>
      </c>
    </row>
    <row r="11" spans="1:2" x14ac:dyDescent="0.3">
      <c r="A11" t="s">
        <v>18</v>
      </c>
      <c r="B11" t="s">
        <v>11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15</v>
      </c>
    </row>
    <row r="14" spans="1:2" x14ac:dyDescent="0.3">
      <c r="A14" t="s">
        <v>22</v>
      </c>
    </row>
    <row r="15" spans="1:2" x14ac:dyDescent="0.3">
      <c r="A15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27</v>
      </c>
      <c r="B2">
        <v>2722</v>
      </c>
      <c r="C2">
        <v>1037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28</v>
      </c>
      <c r="B1" t="s">
        <v>1</v>
      </c>
    </row>
    <row r="2" spans="1:2" x14ac:dyDescent="0.3">
      <c r="A2" t="s">
        <v>29</v>
      </c>
      <c r="B2">
        <v>0.90290000000000004</v>
      </c>
    </row>
    <row r="3" spans="1:2" x14ac:dyDescent="0.3">
      <c r="A3" t="s">
        <v>30</v>
      </c>
      <c r="B3">
        <v>0.82809999999999995</v>
      </c>
    </row>
    <row r="4" spans="1:2" x14ac:dyDescent="0.3">
      <c r="A4" t="s">
        <v>31</v>
      </c>
      <c r="B4">
        <v>0.69530000000000003</v>
      </c>
    </row>
    <row r="5" spans="1:2" x14ac:dyDescent="0.3">
      <c r="A5" t="s">
        <v>32</v>
      </c>
      <c r="B5">
        <v>0.82589999999999997</v>
      </c>
    </row>
    <row r="6" spans="1:2" x14ac:dyDescent="0.3">
      <c r="A6" t="s">
        <v>33</v>
      </c>
      <c r="B6">
        <v>0.755</v>
      </c>
    </row>
    <row r="7" spans="1:2" x14ac:dyDescent="0.3">
      <c r="A7" t="s">
        <v>34</v>
      </c>
      <c r="B7">
        <v>0.40649999999999997</v>
      </c>
    </row>
    <row r="8" spans="1:2" x14ac:dyDescent="0.3">
      <c r="A8" t="s">
        <v>35</v>
      </c>
      <c r="B8">
        <v>2187.2429999999999</v>
      </c>
    </row>
    <row r="9" spans="1:2" x14ac:dyDescent="0.3">
      <c r="A9" t="s">
        <v>36</v>
      </c>
      <c r="B9">
        <v>0.1227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44</v>
      </c>
      <c r="B2">
        <v>1.8574202916772101E-9</v>
      </c>
      <c r="C2">
        <v>4.8770250174453397E-2</v>
      </c>
      <c r="D2">
        <v>3.8085108955421303E-8</v>
      </c>
      <c r="E2">
        <v>0.99999996961248006</v>
      </c>
      <c r="F2">
        <v>-9.5589688484508398E-2</v>
      </c>
      <c r="G2">
        <v>9.5589692199349E-2</v>
      </c>
    </row>
    <row r="3" spans="1:7" x14ac:dyDescent="0.3">
      <c r="A3" t="s">
        <v>45</v>
      </c>
      <c r="B3">
        <v>1.46491347504099</v>
      </c>
      <c r="C3">
        <v>5.4060355736289797E-2</v>
      </c>
      <c r="D3">
        <v>27.097740203318999</v>
      </c>
      <c r="E3">
        <v>1.04690580421537E-161</v>
      </c>
      <c r="F3">
        <v>1.3589551777978599</v>
      </c>
      <c r="G3">
        <v>1.5708717722841199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49</v>
      </c>
      <c r="B2" t="s">
        <v>50</v>
      </c>
      <c r="C2">
        <v>-0.90456642844481105</v>
      </c>
    </row>
    <row r="3" spans="1:3" x14ac:dyDescent="0.3">
      <c r="A3" t="s">
        <v>49</v>
      </c>
      <c r="B3" t="s">
        <v>51</v>
      </c>
      <c r="C3">
        <v>1.9817629240094899E-2</v>
      </c>
    </row>
    <row r="4" spans="1:3" x14ac:dyDescent="0.3">
      <c r="A4" t="s">
        <v>49</v>
      </c>
      <c r="B4" t="s">
        <v>52</v>
      </c>
      <c r="C4">
        <v>0</v>
      </c>
    </row>
    <row r="5" spans="1:3" x14ac:dyDescent="0.3">
      <c r="A5" t="s">
        <v>49</v>
      </c>
      <c r="B5" t="s">
        <v>53</v>
      </c>
      <c r="C5">
        <v>0</v>
      </c>
    </row>
    <row r="6" spans="1:3" x14ac:dyDescent="0.3">
      <c r="A6" t="s">
        <v>49</v>
      </c>
      <c r="B6" t="s">
        <v>54</v>
      </c>
      <c r="C6">
        <v>0</v>
      </c>
    </row>
    <row r="7" spans="1:3" x14ac:dyDescent="0.3">
      <c r="A7" t="s">
        <v>49</v>
      </c>
      <c r="B7" t="s">
        <v>55</v>
      </c>
      <c r="C7">
        <v>-0.12884997498540901</v>
      </c>
    </row>
    <row r="8" spans="1:3" x14ac:dyDescent="0.3">
      <c r="A8" t="s">
        <v>49</v>
      </c>
      <c r="B8" t="s">
        <v>56</v>
      </c>
      <c r="C8">
        <v>0.27742825236879998</v>
      </c>
    </row>
    <row r="9" spans="1:3" x14ac:dyDescent="0.3">
      <c r="A9" t="s">
        <v>49</v>
      </c>
      <c r="B9" t="s">
        <v>57</v>
      </c>
      <c r="C9">
        <v>0.90829906000487104</v>
      </c>
    </row>
    <row r="10" spans="1:3" x14ac:dyDescent="0.3">
      <c r="A10" t="s">
        <v>49</v>
      </c>
      <c r="B10" t="s">
        <v>58</v>
      </c>
      <c r="C10">
        <v>1.55988721705574E-2</v>
      </c>
    </row>
    <row r="11" spans="1:3" x14ac:dyDescent="0.3">
      <c r="A11" t="s">
        <v>49</v>
      </c>
      <c r="B11" t="s">
        <v>59</v>
      </c>
      <c r="C11">
        <v>0.83911851689450401</v>
      </c>
    </row>
    <row r="12" spans="1:3" x14ac:dyDescent="0.3">
      <c r="A12" t="s">
        <v>49</v>
      </c>
      <c r="B12" t="s">
        <v>60</v>
      </c>
      <c r="C12">
        <v>-0.32912171710246901</v>
      </c>
    </row>
    <row r="13" spans="1:3" x14ac:dyDescent="0.3">
      <c r="A13" t="s">
        <v>49</v>
      </c>
      <c r="B13" t="s">
        <v>61</v>
      </c>
      <c r="C13">
        <v>0.24113794075904599</v>
      </c>
    </row>
    <row r="14" spans="1:3" x14ac:dyDescent="0.3">
      <c r="A14" t="s">
        <v>49</v>
      </c>
      <c r="B14" t="s">
        <v>62</v>
      </c>
      <c r="C14">
        <v>0.13726134197359999</v>
      </c>
    </row>
    <row r="15" spans="1:3" x14ac:dyDescent="0.3">
      <c r="A15" t="s">
        <v>49</v>
      </c>
      <c r="B15" t="s">
        <v>63</v>
      </c>
      <c r="C15">
        <v>0.37464531696268299</v>
      </c>
    </row>
    <row r="16" spans="1:3" x14ac:dyDescent="0.3">
      <c r="A16" t="s">
        <v>49</v>
      </c>
      <c r="B16" t="s">
        <v>64</v>
      </c>
      <c r="C16">
        <v>0.210671137339035</v>
      </c>
    </row>
    <row r="17" spans="1:3" x14ac:dyDescent="0.3">
      <c r="A17" t="s">
        <v>49</v>
      </c>
      <c r="B17" t="s">
        <v>65</v>
      </c>
      <c r="C17">
        <v>0.35148498555451901</v>
      </c>
    </row>
    <row r="18" spans="1:3" x14ac:dyDescent="0.3">
      <c r="A18" t="s">
        <v>49</v>
      </c>
      <c r="B18" t="s">
        <v>66</v>
      </c>
      <c r="C18">
        <v>0</v>
      </c>
    </row>
    <row r="19" spans="1:3" x14ac:dyDescent="0.3">
      <c r="A19" t="s">
        <v>49</v>
      </c>
      <c r="B19" t="s">
        <v>67</v>
      </c>
      <c r="C19">
        <v>0</v>
      </c>
    </row>
    <row r="20" spans="1:3" x14ac:dyDescent="0.3">
      <c r="A20" t="s">
        <v>49</v>
      </c>
      <c r="B20" t="s">
        <v>68</v>
      </c>
      <c r="C20">
        <v>0</v>
      </c>
    </row>
    <row r="21" spans="1:3" x14ac:dyDescent="0.3">
      <c r="A21" t="s">
        <v>49</v>
      </c>
      <c r="B21" t="s">
        <v>69</v>
      </c>
      <c r="C21">
        <v>0.50148459049822103</v>
      </c>
    </row>
    <row r="22" spans="1:3" x14ac:dyDescent="0.3">
      <c r="A22" t="s">
        <v>49</v>
      </c>
      <c r="B22" t="s">
        <v>70</v>
      </c>
      <c r="C22">
        <v>0</v>
      </c>
    </row>
    <row r="23" spans="1:3" x14ac:dyDescent="0.3">
      <c r="A23" t="s">
        <v>49</v>
      </c>
      <c r="B23" t="s">
        <v>71</v>
      </c>
      <c r="C23">
        <v>0</v>
      </c>
    </row>
    <row r="24" spans="1:3" x14ac:dyDescent="0.3">
      <c r="A24" t="s">
        <v>49</v>
      </c>
      <c r="B24" t="s">
        <v>72</v>
      </c>
      <c r="C24">
        <v>0</v>
      </c>
    </row>
    <row r="25" spans="1:3" x14ac:dyDescent="0.3">
      <c r="A25" t="s">
        <v>49</v>
      </c>
      <c r="B25" t="s">
        <v>73</v>
      </c>
      <c r="C25">
        <v>0.53582546590039604</v>
      </c>
    </row>
    <row r="26" spans="1:3" x14ac:dyDescent="0.3">
      <c r="A26" t="s">
        <v>49</v>
      </c>
      <c r="B26" t="s">
        <v>74</v>
      </c>
      <c r="C26">
        <v>0</v>
      </c>
    </row>
    <row r="27" spans="1:3" x14ac:dyDescent="0.3">
      <c r="A27" t="s">
        <v>49</v>
      </c>
      <c r="B27" t="s">
        <v>75</v>
      </c>
      <c r="C27">
        <v>-0.597197105753421</v>
      </c>
    </row>
    <row r="28" spans="1:3" x14ac:dyDescent="0.3">
      <c r="A28" t="s">
        <v>49</v>
      </c>
      <c r="B28" t="s">
        <v>76</v>
      </c>
      <c r="C28">
        <v>0</v>
      </c>
    </row>
    <row r="29" spans="1:3" x14ac:dyDescent="0.3">
      <c r="A29" t="s">
        <v>49</v>
      </c>
      <c r="B29" t="s">
        <v>77</v>
      </c>
      <c r="C29">
        <v>0</v>
      </c>
    </row>
    <row r="30" spans="1:3" x14ac:dyDescent="0.3">
      <c r="A30" t="s">
        <v>49</v>
      </c>
      <c r="B30" t="s">
        <v>78</v>
      </c>
      <c r="C30">
        <v>0</v>
      </c>
    </row>
    <row r="31" spans="1:3" x14ac:dyDescent="0.3">
      <c r="A31" t="s">
        <v>49</v>
      </c>
      <c r="B31" t="s">
        <v>79</v>
      </c>
      <c r="C31">
        <v>0.429624144114234</v>
      </c>
    </row>
    <row r="32" spans="1:3" x14ac:dyDescent="0.3">
      <c r="A32" t="s">
        <v>49</v>
      </c>
      <c r="B32" t="s">
        <v>80</v>
      </c>
      <c r="C32">
        <v>0</v>
      </c>
    </row>
    <row r="33" spans="1:3" x14ac:dyDescent="0.3">
      <c r="A33" t="s">
        <v>49</v>
      </c>
      <c r="B33" t="s">
        <v>81</v>
      </c>
      <c r="C33">
        <v>0</v>
      </c>
    </row>
    <row r="34" spans="1:3" x14ac:dyDescent="0.3">
      <c r="A34" t="s">
        <v>49</v>
      </c>
      <c r="B34" t="s">
        <v>82</v>
      </c>
      <c r="C34">
        <v>-7.5198945935689293E-2</v>
      </c>
    </row>
    <row r="35" spans="1:3" x14ac:dyDescent="0.3">
      <c r="A35" t="s">
        <v>49</v>
      </c>
      <c r="B35" t="s">
        <v>83</v>
      </c>
      <c r="C35">
        <v>0</v>
      </c>
    </row>
    <row r="36" spans="1:3" x14ac:dyDescent="0.3">
      <c r="A36" t="s">
        <v>49</v>
      </c>
      <c r="B36" t="s">
        <v>84</v>
      </c>
      <c r="C36">
        <v>0</v>
      </c>
    </row>
    <row r="37" spans="1:3" x14ac:dyDescent="0.3">
      <c r="A37" t="s">
        <v>49</v>
      </c>
      <c r="B37" t="s">
        <v>85</v>
      </c>
      <c r="C37">
        <v>0</v>
      </c>
    </row>
    <row r="38" spans="1:3" x14ac:dyDescent="0.3">
      <c r="A38" t="s">
        <v>49</v>
      </c>
      <c r="B38" t="s">
        <v>86</v>
      </c>
      <c r="C38">
        <v>0</v>
      </c>
    </row>
    <row r="39" spans="1:3" x14ac:dyDescent="0.3">
      <c r="A39" t="s">
        <v>49</v>
      </c>
      <c r="B39" t="s">
        <v>87</v>
      </c>
      <c r="C39">
        <v>1.1066994762656599</v>
      </c>
    </row>
    <row r="40" spans="1:3" x14ac:dyDescent="0.3">
      <c r="A40" t="s">
        <v>49</v>
      </c>
      <c r="B40" t="s">
        <v>88</v>
      </c>
      <c r="C40">
        <v>0</v>
      </c>
    </row>
    <row r="41" spans="1:3" x14ac:dyDescent="0.3">
      <c r="A41" t="s">
        <v>49</v>
      </c>
      <c r="B41" t="s">
        <v>89</v>
      </c>
      <c r="C41">
        <v>0.53511016090254104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0"/>
  <sheetViews>
    <sheetView tabSelected="1" topLeftCell="A18" workbookViewId="0">
      <pane xSplit="1" topLeftCell="H1" activePane="topRight" state="frozen"/>
      <selection pane="topRight" activeCell="R32" sqref="R32"/>
    </sheetView>
  </sheetViews>
  <sheetFormatPr defaultColWidth="11.5546875" defaultRowHeight="14.4" x14ac:dyDescent="0.3"/>
  <sheetData>
    <row r="1" spans="1:18" x14ac:dyDescent="0.3">
      <c r="A1" t="s">
        <v>90</v>
      </c>
      <c r="B1" t="s">
        <v>91</v>
      </c>
      <c r="C1" t="s">
        <v>92</v>
      </c>
      <c r="D1" t="s">
        <v>93</v>
      </c>
      <c r="E1" t="s">
        <v>41</v>
      </c>
      <c r="F1" t="s">
        <v>94</v>
      </c>
      <c r="G1" t="s">
        <v>95</v>
      </c>
      <c r="H1" t="s">
        <v>42</v>
      </c>
      <c r="I1" t="s">
        <v>43</v>
      </c>
      <c r="J1" t="s">
        <v>174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</row>
    <row r="2" spans="1:18" x14ac:dyDescent="0.3">
      <c r="A2" t="s">
        <v>51</v>
      </c>
      <c r="B2">
        <v>3.5240001379163097E-2</v>
      </c>
      <c r="C2">
        <v>4.1322584024980104E-3</v>
      </c>
      <c r="D2">
        <v>8.5280246167229095</v>
      </c>
      <c r="E2">
        <v>1.4886786744012299E-17</v>
      </c>
      <c r="F2" t="s">
        <v>104</v>
      </c>
      <c r="G2">
        <v>1.0358682887866</v>
      </c>
      <c r="H2">
        <v>1.02751244055418</v>
      </c>
      <c r="I2">
        <v>1.04429208772884</v>
      </c>
      <c r="J2" t="str">
        <f>_xlfn.CONCAT(ROUND(G2,3), " (", ROUND(H2,3),"-",ROUND(I2,3),")")</f>
        <v>1.036 (1.028-1.044)</v>
      </c>
      <c r="K2" t="s">
        <v>51</v>
      </c>
      <c r="L2">
        <v>1.4659929587645</v>
      </c>
      <c r="M2">
        <v>1.4659929587645</v>
      </c>
      <c r="N2">
        <v>1.4659929587645</v>
      </c>
      <c r="O2">
        <v>77.762227378838602</v>
      </c>
      <c r="P2">
        <v>1</v>
      </c>
      <c r="Q2">
        <v>1.16221582849754E-18</v>
      </c>
      <c r="R2" t="s">
        <v>104</v>
      </c>
    </row>
    <row r="3" spans="1:18" x14ac:dyDescent="0.3">
      <c r="A3" t="s">
        <v>52</v>
      </c>
      <c r="B3">
        <v>0.27244828641361502</v>
      </c>
      <c r="C3">
        <v>0.132258062207216</v>
      </c>
      <c r="D3">
        <v>2.0599748844554799</v>
      </c>
      <c r="E3">
        <v>3.9400941905568899E-2</v>
      </c>
      <c r="F3" t="s">
        <v>105</v>
      </c>
      <c r="G3">
        <v>1.3131755481394001</v>
      </c>
      <c r="H3">
        <v>1.0133102881026701</v>
      </c>
      <c r="I3">
        <v>1.7017788534053599</v>
      </c>
      <c r="J3" t="str">
        <f t="shared" ref="J3:J40" si="0">_xlfn.CONCAT(ROUND(G3,2), " (", ROUND(H3,2),"-",ROUND(I3,2),")")</f>
        <v>1.31 (1.01-1.7)</v>
      </c>
      <c r="K3" t="s">
        <v>106</v>
      </c>
      <c r="L3">
        <v>1.1783535824514899</v>
      </c>
      <c r="M3">
        <v>1.2870604479499601</v>
      </c>
      <c r="N3">
        <v>1.2870604479499601</v>
      </c>
      <c r="O3">
        <v>10.9095275633874</v>
      </c>
      <c r="P3">
        <v>3</v>
      </c>
      <c r="Q3">
        <v>1.22252900131963E-2</v>
      </c>
      <c r="R3" t="s">
        <v>107</v>
      </c>
    </row>
    <row r="4" spans="1:18" x14ac:dyDescent="0.3">
      <c r="A4" t="s">
        <v>53</v>
      </c>
      <c r="B4">
        <v>-3.0673085993309999E-2</v>
      </c>
      <c r="C4">
        <v>0.29980080656716201</v>
      </c>
      <c r="D4">
        <v>-0.10231155260897699</v>
      </c>
      <c r="E4">
        <v>0.91850938577276298</v>
      </c>
      <c r="F4" t="s">
        <v>108</v>
      </c>
      <c r="G4">
        <v>0.96979256003092296</v>
      </c>
      <c r="H4">
        <v>0.53886906111823596</v>
      </c>
      <c r="I4">
        <v>1.74531751282891</v>
      </c>
      <c r="J4" t="str">
        <f t="shared" si="0"/>
        <v>0.97 (0.54-1.75)</v>
      </c>
      <c r="K4" t="s">
        <v>106</v>
      </c>
      <c r="L4">
        <v>1.1783535824514899</v>
      </c>
      <c r="M4">
        <v>1.2870604479499601</v>
      </c>
      <c r="N4">
        <v>1.1433338363075201</v>
      </c>
      <c r="O4">
        <v>10.9095275633874</v>
      </c>
      <c r="P4">
        <v>3</v>
      </c>
      <c r="Q4">
        <v>1.22252900131963E-2</v>
      </c>
      <c r="R4" t="s">
        <v>107</v>
      </c>
    </row>
    <row r="5" spans="1:18" x14ac:dyDescent="0.3">
      <c r="A5" t="s">
        <v>54</v>
      </c>
      <c r="B5">
        <v>-0.50535223297944598</v>
      </c>
      <c r="C5">
        <v>0.245028350387029</v>
      </c>
      <c r="D5">
        <v>-2.06242352030378</v>
      </c>
      <c r="E5">
        <v>3.9167431944776503E-2</v>
      </c>
      <c r="F5" t="s">
        <v>109</v>
      </c>
      <c r="G5">
        <v>0.60329303829358705</v>
      </c>
      <c r="H5">
        <v>0.37321231963644602</v>
      </c>
      <c r="I5">
        <v>0.97521563706163705</v>
      </c>
      <c r="J5" t="str">
        <f t="shared" si="0"/>
        <v>0.6 (0.37-0.98)</v>
      </c>
      <c r="K5" t="s">
        <v>106</v>
      </c>
      <c r="L5">
        <v>1.1783535824514899</v>
      </c>
      <c r="M5">
        <v>1.2870604479499601</v>
      </c>
      <c r="N5">
        <v>1.10466646309698</v>
      </c>
      <c r="O5">
        <v>10.9095275633874</v>
      </c>
      <c r="P5">
        <v>3</v>
      </c>
      <c r="Q5">
        <v>1.22252900131963E-2</v>
      </c>
      <c r="R5" t="s">
        <v>107</v>
      </c>
    </row>
    <row r="6" spans="1:18" x14ac:dyDescent="0.3">
      <c r="A6" t="s">
        <v>55</v>
      </c>
      <c r="B6">
        <v>-0.15729052508642899</v>
      </c>
      <c r="C6">
        <v>1.71038819305371E-2</v>
      </c>
      <c r="D6">
        <v>-9.1961886620372404</v>
      </c>
      <c r="E6">
        <v>3.70871185695761E-20</v>
      </c>
      <c r="F6" t="s">
        <v>104</v>
      </c>
      <c r="G6">
        <v>0.85445578191420701</v>
      </c>
      <c r="H6">
        <v>0.82628615265400795</v>
      </c>
      <c r="I6">
        <v>0.88358576614357498</v>
      </c>
      <c r="J6" t="str">
        <f t="shared" si="0"/>
        <v>0.85 (0.83-0.88)</v>
      </c>
      <c r="K6" t="s">
        <v>55</v>
      </c>
      <c r="L6">
        <v>2.12196935927631</v>
      </c>
      <c r="M6">
        <v>2.12196935927631</v>
      </c>
      <c r="N6">
        <v>2.12196935927631</v>
      </c>
      <c r="O6">
        <v>87.330154697498301</v>
      </c>
      <c r="P6">
        <v>1</v>
      </c>
      <c r="Q6">
        <v>9.1837002702339894E-21</v>
      </c>
      <c r="R6" t="s">
        <v>104</v>
      </c>
    </row>
    <row r="7" spans="1:18" x14ac:dyDescent="0.3">
      <c r="A7" t="s">
        <v>56</v>
      </c>
      <c r="B7">
        <v>1.2531286459182001</v>
      </c>
      <c r="C7">
        <v>0.46032078065589199</v>
      </c>
      <c r="D7">
        <v>2.7222943186111799</v>
      </c>
      <c r="E7">
        <v>6.4830375672924401E-3</v>
      </c>
      <c r="F7" t="s">
        <v>110</v>
      </c>
      <c r="G7">
        <v>3.5012801050183802</v>
      </c>
      <c r="H7">
        <v>1.42034516473511</v>
      </c>
      <c r="I7">
        <v>8.6309741309140406</v>
      </c>
      <c r="J7" t="str">
        <f t="shared" si="0"/>
        <v>3.5 (1.42-8.63)</v>
      </c>
      <c r="K7" t="s">
        <v>111</v>
      </c>
      <c r="L7">
        <v>1.4037287642171901</v>
      </c>
      <c r="M7">
        <v>1.4037287642171901</v>
      </c>
      <c r="N7">
        <v>1.4037287642171901</v>
      </c>
      <c r="O7">
        <v>8.7677428141876099</v>
      </c>
      <c r="P7">
        <v>1</v>
      </c>
      <c r="Q7">
        <v>3.0660464921751901E-3</v>
      </c>
      <c r="R7" t="s">
        <v>112</v>
      </c>
    </row>
    <row r="8" spans="1:18" x14ac:dyDescent="0.3">
      <c r="A8" t="s">
        <v>57</v>
      </c>
      <c r="B8">
        <v>0.97187755762624495</v>
      </c>
      <c r="C8">
        <v>0.203131292177825</v>
      </c>
      <c r="D8">
        <v>4.7844797677722903</v>
      </c>
      <c r="E8">
        <v>1.7143076357890401E-6</v>
      </c>
      <c r="F8" t="s">
        <v>113</v>
      </c>
      <c r="G8">
        <v>2.6429020046735601</v>
      </c>
      <c r="H8">
        <v>1.77489315181989</v>
      </c>
      <c r="I8">
        <v>3.93540929443868</v>
      </c>
      <c r="J8" t="str">
        <f t="shared" si="0"/>
        <v>2.64 (1.77-3.94)</v>
      </c>
      <c r="K8" t="s">
        <v>114</v>
      </c>
      <c r="L8">
        <v>1.89329421195282</v>
      </c>
      <c r="M8">
        <v>1.89329421195282</v>
      </c>
      <c r="N8">
        <v>1.89329421195282</v>
      </c>
      <c r="O8">
        <v>24.181342574782501</v>
      </c>
      <c r="P8">
        <v>1</v>
      </c>
      <c r="Q8">
        <v>8.7677563595337798E-7</v>
      </c>
      <c r="R8" t="s">
        <v>115</v>
      </c>
    </row>
    <row r="9" spans="1:18" x14ac:dyDescent="0.3">
      <c r="A9" t="s">
        <v>58</v>
      </c>
      <c r="B9">
        <v>0.67465335867918796</v>
      </c>
      <c r="C9">
        <v>0.163241395634351</v>
      </c>
      <c r="D9">
        <v>4.13285708601979</v>
      </c>
      <c r="E9">
        <v>3.5828151924069201E-5</v>
      </c>
      <c r="F9" t="s">
        <v>116</v>
      </c>
      <c r="G9">
        <v>1.9633522789706099</v>
      </c>
      <c r="H9">
        <v>1.4257531825361101</v>
      </c>
      <c r="I9">
        <v>2.70366022573578</v>
      </c>
      <c r="J9" t="str">
        <f t="shared" si="0"/>
        <v>1.96 (1.43-2.7)</v>
      </c>
      <c r="K9" t="s">
        <v>117</v>
      </c>
      <c r="L9">
        <v>1.9006974882040399</v>
      </c>
      <c r="M9">
        <v>2.3234289161905899</v>
      </c>
      <c r="N9">
        <v>1.4779660602175</v>
      </c>
      <c r="O9">
        <v>99.378889550856201</v>
      </c>
      <c r="P9">
        <v>2</v>
      </c>
      <c r="Q9">
        <v>2.6311664643808901E-22</v>
      </c>
      <c r="R9" t="s">
        <v>104</v>
      </c>
    </row>
    <row r="10" spans="1:18" x14ac:dyDescent="0.3">
      <c r="A10" t="s">
        <v>59</v>
      </c>
      <c r="B10">
        <v>1.6627863062341399</v>
      </c>
      <c r="C10">
        <v>0.17312474089938301</v>
      </c>
      <c r="D10">
        <v>9.6045562153391</v>
      </c>
      <c r="E10">
        <v>7.6486704590658098E-22</v>
      </c>
      <c r="F10" t="s">
        <v>104</v>
      </c>
      <c r="G10">
        <v>5.2739853293506602</v>
      </c>
      <c r="H10">
        <v>3.7564028628400301</v>
      </c>
      <c r="I10">
        <v>7.4046693791454903</v>
      </c>
      <c r="J10" t="str">
        <f t="shared" si="0"/>
        <v>5.27 (3.76-7.4)</v>
      </c>
      <c r="K10" t="s">
        <v>117</v>
      </c>
      <c r="L10">
        <v>1.9006974882040399</v>
      </c>
      <c r="M10">
        <v>2.3234289161905899</v>
      </c>
      <c r="N10">
        <v>2.3234289161905899</v>
      </c>
      <c r="O10">
        <v>99.378889550856201</v>
      </c>
      <c r="P10">
        <v>2</v>
      </c>
      <c r="Q10">
        <v>2.6311664643808901E-22</v>
      </c>
      <c r="R10" t="s">
        <v>104</v>
      </c>
    </row>
    <row r="11" spans="1:18" x14ac:dyDescent="0.3">
      <c r="A11" t="s">
        <v>60</v>
      </c>
      <c r="B11">
        <v>-0.78339910083658504</v>
      </c>
      <c r="C11">
        <v>0.138316520361801</v>
      </c>
      <c r="D11">
        <v>-5.6638144076167602</v>
      </c>
      <c r="E11">
        <v>1.48044527801443E-8</v>
      </c>
      <c r="F11" t="s">
        <v>118</v>
      </c>
      <c r="G11">
        <v>0.456850488236277</v>
      </c>
      <c r="H11">
        <v>0.34836674794203798</v>
      </c>
      <c r="I11">
        <v>0.59911679238814897</v>
      </c>
      <c r="J11" t="str">
        <f t="shared" si="0"/>
        <v>0.46 (0.35-0.6)</v>
      </c>
      <c r="K11" t="s">
        <v>119</v>
      </c>
      <c r="L11">
        <v>1.1573421400247901</v>
      </c>
      <c r="M11">
        <v>1.1573421400247901</v>
      </c>
      <c r="N11">
        <v>1.1573421400247901</v>
      </c>
      <c r="O11">
        <v>33.255941479152398</v>
      </c>
      <c r="P11">
        <v>1</v>
      </c>
      <c r="Q11">
        <v>8.0792525846512206E-9</v>
      </c>
      <c r="R11" t="s">
        <v>120</v>
      </c>
    </row>
    <row r="12" spans="1:18" x14ac:dyDescent="0.3">
      <c r="A12" t="s">
        <v>61</v>
      </c>
      <c r="B12">
        <v>0.63959411745157801</v>
      </c>
      <c r="C12">
        <v>0.144410076855502</v>
      </c>
      <c r="D12">
        <v>4.4290130673606702</v>
      </c>
      <c r="E12">
        <v>9.4665287829180299E-6</v>
      </c>
      <c r="F12" t="s">
        <v>121</v>
      </c>
      <c r="G12">
        <v>1.89571128700523</v>
      </c>
      <c r="H12">
        <v>1.42839347233638</v>
      </c>
      <c r="I12">
        <v>2.5159183049197802</v>
      </c>
      <c r="J12" t="str">
        <f t="shared" si="0"/>
        <v>1.9 (1.43-2.52)</v>
      </c>
      <c r="K12" t="s">
        <v>122</v>
      </c>
      <c r="L12">
        <v>1.22919256770129</v>
      </c>
      <c r="M12">
        <v>1.22919256770129</v>
      </c>
      <c r="N12">
        <v>1.22919256770129</v>
      </c>
      <c r="O12">
        <v>20.0454155082864</v>
      </c>
      <c r="P12">
        <v>1</v>
      </c>
      <c r="Q12">
        <v>7.5624609869269096E-6</v>
      </c>
      <c r="R12" t="s">
        <v>123</v>
      </c>
    </row>
    <row r="13" spans="1:18" x14ac:dyDescent="0.3">
      <c r="A13" t="s">
        <v>62</v>
      </c>
      <c r="B13">
        <v>0.35274646868951998</v>
      </c>
      <c r="C13">
        <v>0.14564876822040901</v>
      </c>
      <c r="D13">
        <v>2.4218980565335899</v>
      </c>
      <c r="E13">
        <v>1.543968115389E-2</v>
      </c>
      <c r="F13" t="s">
        <v>124</v>
      </c>
      <c r="G13">
        <v>1.42297033016422</v>
      </c>
      <c r="H13">
        <v>1.0695894497015199</v>
      </c>
      <c r="I13">
        <v>1.8931044627382301</v>
      </c>
      <c r="J13" t="str">
        <f t="shared" si="0"/>
        <v>1.42 (1.07-1.89)</v>
      </c>
      <c r="K13" t="s">
        <v>125</v>
      </c>
      <c r="L13">
        <v>1.29154777930933</v>
      </c>
      <c r="M13">
        <v>1.29154777930933</v>
      </c>
      <c r="N13">
        <v>1.29154777930933</v>
      </c>
      <c r="O13">
        <v>5.9139444244788102</v>
      </c>
      <c r="P13">
        <v>1</v>
      </c>
      <c r="Q13">
        <v>1.50215006168995E-2</v>
      </c>
      <c r="R13" t="s">
        <v>126</v>
      </c>
    </row>
    <row r="14" spans="1:18" x14ac:dyDescent="0.3">
      <c r="A14" t="s">
        <v>63</v>
      </c>
      <c r="B14">
        <v>0.54181391069127705</v>
      </c>
      <c r="C14">
        <v>0.162604079891041</v>
      </c>
      <c r="D14">
        <v>3.3321052648515201</v>
      </c>
      <c r="E14">
        <v>8.6191647778481996E-4</v>
      </c>
      <c r="F14" t="s">
        <v>127</v>
      </c>
      <c r="G14">
        <v>1.71912237015085</v>
      </c>
      <c r="H14">
        <v>1.24995795419544</v>
      </c>
      <c r="I14">
        <v>2.3643849088150799</v>
      </c>
      <c r="J14" t="str">
        <f t="shared" si="0"/>
        <v>1.72 (1.25-2.36)</v>
      </c>
      <c r="K14" t="s">
        <v>128</v>
      </c>
      <c r="L14">
        <v>1.14418961016111</v>
      </c>
      <c r="M14">
        <v>1.14418961016111</v>
      </c>
      <c r="N14">
        <v>1.14418961016111</v>
      </c>
      <c r="O14">
        <v>11.1554259068782</v>
      </c>
      <c r="P14">
        <v>1</v>
      </c>
      <c r="Q14">
        <v>8.3786252342801099E-4</v>
      </c>
      <c r="R14" t="s">
        <v>129</v>
      </c>
    </row>
    <row r="15" spans="1:18" x14ac:dyDescent="0.3">
      <c r="A15" t="s">
        <v>64</v>
      </c>
      <c r="B15">
        <v>0.28481107347991602</v>
      </c>
      <c r="C15">
        <v>0.154517100670651</v>
      </c>
      <c r="D15">
        <v>1.8432333524493401</v>
      </c>
      <c r="E15">
        <v>6.5294947234277007E-2</v>
      </c>
      <c r="F15" t="s">
        <v>130</v>
      </c>
      <c r="G15">
        <v>1.32951082453922</v>
      </c>
      <c r="H15">
        <v>0.98211934656259103</v>
      </c>
      <c r="I15">
        <v>1.7997802800174301</v>
      </c>
      <c r="J15" t="str">
        <f t="shared" si="0"/>
        <v>1.33 (0.98-1.8)</v>
      </c>
      <c r="K15" t="s">
        <v>131</v>
      </c>
      <c r="L15">
        <v>1.50143980035392</v>
      </c>
      <c r="M15">
        <v>1.50143980035392</v>
      </c>
      <c r="N15">
        <v>1.50143980035392</v>
      </c>
      <c r="O15">
        <v>3.39186133497242</v>
      </c>
      <c r="P15">
        <v>1</v>
      </c>
      <c r="Q15">
        <v>6.5518947069283504E-2</v>
      </c>
      <c r="R15" t="s">
        <v>132</v>
      </c>
    </row>
    <row r="16" spans="1:18" x14ac:dyDescent="0.3">
      <c r="A16" t="s">
        <v>65</v>
      </c>
      <c r="B16">
        <v>0.40991379943256101</v>
      </c>
      <c r="C16">
        <v>0.14613353279343799</v>
      </c>
      <c r="D16">
        <v>2.8050632294778</v>
      </c>
      <c r="E16">
        <v>5.0306710125139296E-3</v>
      </c>
      <c r="F16" t="s">
        <v>133</v>
      </c>
      <c r="G16">
        <v>1.5066879021628199</v>
      </c>
      <c r="H16">
        <v>1.13144103801444</v>
      </c>
      <c r="I16">
        <v>2.0063868626398902</v>
      </c>
      <c r="J16" t="str">
        <f t="shared" si="0"/>
        <v>1.51 (1.13-2.01)</v>
      </c>
      <c r="K16" t="s">
        <v>134</v>
      </c>
      <c r="L16">
        <v>1.3029636266723601</v>
      </c>
      <c r="M16">
        <v>1.3029636266723601</v>
      </c>
      <c r="N16">
        <v>1.3029636266723601</v>
      </c>
      <c r="O16">
        <v>7.86376388446934</v>
      </c>
      <c r="P16">
        <v>1</v>
      </c>
      <c r="Q16">
        <v>5.0435293820758498E-3</v>
      </c>
      <c r="R16" t="s">
        <v>135</v>
      </c>
    </row>
    <row r="17" spans="1:18" x14ac:dyDescent="0.3">
      <c r="A17" t="s">
        <v>66</v>
      </c>
      <c r="B17">
        <v>0.40757258378064598</v>
      </c>
      <c r="C17">
        <v>0.36729663483908598</v>
      </c>
      <c r="D17">
        <v>1.10965509923391</v>
      </c>
      <c r="E17">
        <v>0.26714767830576303</v>
      </c>
      <c r="F17" t="s">
        <v>136</v>
      </c>
      <c r="G17">
        <v>1.5031645469403001</v>
      </c>
      <c r="H17">
        <v>0.73174087726096404</v>
      </c>
      <c r="I17">
        <v>3.0878467028327901</v>
      </c>
      <c r="J17" t="str">
        <f t="shared" si="0"/>
        <v>1.5 (0.73-3.09)</v>
      </c>
      <c r="K17" t="s">
        <v>137</v>
      </c>
      <c r="L17">
        <v>2.86091375940783</v>
      </c>
      <c r="M17">
        <v>4.5452603891010197</v>
      </c>
      <c r="N17">
        <v>2.8709848011251999</v>
      </c>
      <c r="O17">
        <v>16.212309917550801</v>
      </c>
      <c r="P17">
        <v>4</v>
      </c>
      <c r="Q17">
        <v>2.7471139124253898E-3</v>
      </c>
      <c r="R17" t="s">
        <v>138</v>
      </c>
    </row>
    <row r="18" spans="1:18" x14ac:dyDescent="0.3">
      <c r="A18" t="s">
        <v>67</v>
      </c>
      <c r="B18">
        <v>0.27170476017616602</v>
      </c>
      <c r="C18">
        <v>0.36225236958824703</v>
      </c>
      <c r="D18">
        <v>0.75004274087978595</v>
      </c>
      <c r="E18">
        <v>0.45322896340875102</v>
      </c>
      <c r="F18" t="s">
        <v>139</v>
      </c>
      <c r="G18">
        <v>1.31219953055729</v>
      </c>
      <c r="H18">
        <v>0.64512583756403996</v>
      </c>
      <c r="I18">
        <v>2.6690414609596802</v>
      </c>
      <c r="J18" t="str">
        <f t="shared" si="0"/>
        <v>1.31 (0.65-2.67)</v>
      </c>
      <c r="K18" t="s">
        <v>137</v>
      </c>
      <c r="L18">
        <v>2.86091375940783</v>
      </c>
      <c r="M18">
        <v>4.5452603891010197</v>
      </c>
      <c r="N18">
        <v>2.2840543179667798</v>
      </c>
      <c r="O18">
        <v>16.212309917550801</v>
      </c>
      <c r="P18">
        <v>4</v>
      </c>
      <c r="Q18">
        <v>2.7471139124253898E-3</v>
      </c>
      <c r="R18" t="s">
        <v>138</v>
      </c>
    </row>
    <row r="19" spans="1:18" x14ac:dyDescent="0.3">
      <c r="A19" t="s">
        <v>68</v>
      </c>
      <c r="B19">
        <v>1.30765741403429</v>
      </c>
      <c r="C19">
        <v>0.84427160856898897</v>
      </c>
      <c r="D19">
        <v>1.5488586857145701</v>
      </c>
      <c r="E19">
        <v>0.121415694362719</v>
      </c>
      <c r="F19" t="s">
        <v>140</v>
      </c>
      <c r="G19">
        <v>3.6975018429508202</v>
      </c>
      <c r="H19">
        <v>0.70672409359769595</v>
      </c>
      <c r="I19">
        <v>19.344918338679499</v>
      </c>
      <c r="J19" t="str">
        <f t="shared" si="0"/>
        <v>3.7 (0.71-19.34)</v>
      </c>
      <c r="K19" t="s">
        <v>137</v>
      </c>
      <c r="L19">
        <v>2.86091375940783</v>
      </c>
      <c r="M19">
        <v>4.5452603891010197</v>
      </c>
      <c r="N19">
        <v>4.5452603891010197</v>
      </c>
      <c r="O19">
        <v>16.212309917550801</v>
      </c>
      <c r="P19">
        <v>4</v>
      </c>
      <c r="Q19">
        <v>2.7471139124253898E-3</v>
      </c>
      <c r="R19" t="s">
        <v>138</v>
      </c>
    </row>
    <row r="20" spans="1:18" x14ac:dyDescent="0.3">
      <c r="A20" t="s">
        <v>69</v>
      </c>
      <c r="B20">
        <v>1.6853973617815601</v>
      </c>
      <c r="C20">
        <v>0.47234860687699598</v>
      </c>
      <c r="D20">
        <v>3.56812180081323</v>
      </c>
      <c r="E20">
        <v>3.5954936609725101E-4</v>
      </c>
      <c r="F20" t="s">
        <v>141</v>
      </c>
      <c r="G20">
        <v>5.3945941120396403</v>
      </c>
      <c r="H20">
        <v>2.13740845384836</v>
      </c>
      <c r="I20">
        <v>13.6153881029411</v>
      </c>
      <c r="J20" t="str">
        <f t="shared" si="0"/>
        <v>5.39 (2.14-13.62)</v>
      </c>
      <c r="K20" t="s">
        <v>137</v>
      </c>
      <c r="L20">
        <v>2.86091375940783</v>
      </c>
      <c r="M20">
        <v>4.5452603891010197</v>
      </c>
      <c r="N20">
        <v>1.7433555294383201</v>
      </c>
      <c r="O20">
        <v>16.212309917550801</v>
      </c>
      <c r="P20">
        <v>4</v>
      </c>
      <c r="Q20">
        <v>2.7471139124253898E-3</v>
      </c>
      <c r="R20" t="s">
        <v>138</v>
      </c>
    </row>
    <row r="21" spans="1:18" x14ac:dyDescent="0.3">
      <c r="A21" t="s">
        <v>70</v>
      </c>
      <c r="B21">
        <v>-0.32630352053683798</v>
      </c>
      <c r="C21">
        <v>0.24143760952134599</v>
      </c>
      <c r="D21">
        <v>-1.3515024489504399</v>
      </c>
      <c r="E21">
        <v>0.17653453595827601</v>
      </c>
      <c r="F21" t="s">
        <v>142</v>
      </c>
      <c r="G21">
        <v>0.72158613797841997</v>
      </c>
      <c r="H21">
        <v>0.44954413851431002</v>
      </c>
      <c r="I21">
        <v>1.15825457371865</v>
      </c>
      <c r="J21" t="str">
        <f t="shared" si="0"/>
        <v>0.72 (0.45-1.16)</v>
      </c>
      <c r="K21" t="s">
        <v>143</v>
      </c>
      <c r="L21">
        <v>1.5452812836840899</v>
      </c>
      <c r="M21">
        <v>1.8119706962375099</v>
      </c>
      <c r="N21">
        <v>1.32259980170119</v>
      </c>
      <c r="O21">
        <v>21.685422968925401</v>
      </c>
      <c r="P21">
        <v>4</v>
      </c>
      <c r="Q21">
        <v>2.3148421541532399E-4</v>
      </c>
      <c r="R21" t="s">
        <v>144</v>
      </c>
    </row>
    <row r="22" spans="1:18" x14ac:dyDescent="0.3">
      <c r="A22" t="s">
        <v>71</v>
      </c>
      <c r="B22">
        <v>-0.40767612704991002</v>
      </c>
      <c r="C22">
        <v>0.312198038508121</v>
      </c>
      <c r="D22">
        <v>-1.30582539531012</v>
      </c>
      <c r="E22">
        <v>0.19161194182918501</v>
      </c>
      <c r="F22" t="s">
        <v>145</v>
      </c>
      <c r="G22">
        <v>0.66519428237344302</v>
      </c>
      <c r="H22">
        <v>0.36074487695431701</v>
      </c>
      <c r="I22">
        <v>1.22658272249935</v>
      </c>
      <c r="J22" t="str">
        <f t="shared" si="0"/>
        <v>0.67 (0.36-1.23)</v>
      </c>
      <c r="K22" t="s">
        <v>143</v>
      </c>
      <c r="L22">
        <v>1.5452812836840899</v>
      </c>
      <c r="M22">
        <v>1.8119706962375099</v>
      </c>
      <c r="N22">
        <v>1.8119706962375099</v>
      </c>
      <c r="O22">
        <v>21.685422968925401</v>
      </c>
      <c r="P22">
        <v>4</v>
      </c>
      <c r="Q22">
        <v>2.3148421541532399E-4</v>
      </c>
      <c r="R22" t="s">
        <v>144</v>
      </c>
    </row>
    <row r="23" spans="1:18" x14ac:dyDescent="0.3">
      <c r="A23" t="s">
        <v>72</v>
      </c>
      <c r="B23">
        <v>0.46852903327216799</v>
      </c>
      <c r="C23">
        <v>0.40358398349962599</v>
      </c>
      <c r="D23">
        <v>1.1609207808728701</v>
      </c>
      <c r="E23">
        <v>0.24567411701386299</v>
      </c>
      <c r="F23" t="s">
        <v>146</v>
      </c>
      <c r="G23">
        <v>1.5976423851341901</v>
      </c>
      <c r="H23">
        <v>0.724339137444454</v>
      </c>
      <c r="I23">
        <v>3.5238482346579101</v>
      </c>
      <c r="J23" t="str">
        <f t="shared" si="0"/>
        <v>1.6 (0.72-3.52)</v>
      </c>
      <c r="K23" t="s">
        <v>143</v>
      </c>
      <c r="L23">
        <v>1.5452812836840899</v>
      </c>
      <c r="M23">
        <v>1.8119706962375099</v>
      </c>
      <c r="N23">
        <v>1.4929911403402201</v>
      </c>
      <c r="O23">
        <v>21.685422968925401</v>
      </c>
      <c r="P23">
        <v>4</v>
      </c>
      <c r="Q23">
        <v>2.3148421541532399E-4</v>
      </c>
      <c r="R23" t="s">
        <v>144</v>
      </c>
    </row>
    <row r="24" spans="1:18" x14ac:dyDescent="0.3">
      <c r="A24" t="s">
        <v>73</v>
      </c>
      <c r="B24">
        <v>1.23121890242419</v>
      </c>
      <c r="C24">
        <v>0.37343041090256501</v>
      </c>
      <c r="D24">
        <v>3.2970504449500799</v>
      </c>
      <c r="E24">
        <v>9.7705950884116708E-4</v>
      </c>
      <c r="F24" t="s">
        <v>147</v>
      </c>
      <c r="G24">
        <v>3.42540222379801</v>
      </c>
      <c r="H24">
        <v>1.64755982125194</v>
      </c>
      <c r="I24">
        <v>7.1216718467220597</v>
      </c>
      <c r="J24" t="str">
        <f t="shared" si="0"/>
        <v>3.43 (1.65-7.12)</v>
      </c>
      <c r="K24" t="s">
        <v>143</v>
      </c>
      <c r="L24">
        <v>1.5452812836840899</v>
      </c>
      <c r="M24">
        <v>1.8119706962375099</v>
      </c>
      <c r="N24">
        <v>1.5535634964574601</v>
      </c>
      <c r="O24">
        <v>21.685422968925401</v>
      </c>
      <c r="P24">
        <v>4</v>
      </c>
      <c r="Q24">
        <v>2.3148421541532399E-4</v>
      </c>
      <c r="R24" t="s">
        <v>144</v>
      </c>
    </row>
    <row r="25" spans="1:18" x14ac:dyDescent="0.3">
      <c r="A25" t="s">
        <v>74</v>
      </c>
      <c r="B25">
        <v>-0.44152203395640799</v>
      </c>
      <c r="C25">
        <v>0.46818243837985302</v>
      </c>
      <c r="D25">
        <v>-0.94305552229660095</v>
      </c>
      <c r="E25">
        <v>0.34565250424354799</v>
      </c>
      <c r="F25" t="s">
        <v>148</v>
      </c>
      <c r="G25">
        <v>0.64305692138607995</v>
      </c>
      <c r="H25">
        <v>0.256876561946215</v>
      </c>
      <c r="I25">
        <v>1.6098090110265799</v>
      </c>
      <c r="J25" t="str">
        <f t="shared" si="0"/>
        <v>0.64 (0.26-1.61)</v>
      </c>
      <c r="K25" t="s">
        <v>149</v>
      </c>
      <c r="L25">
        <v>3.1596546655156899</v>
      </c>
      <c r="M25">
        <v>4.0179184815028002</v>
      </c>
      <c r="N25">
        <v>3.9780515486275698</v>
      </c>
      <c r="O25">
        <v>15.8258033419547</v>
      </c>
      <c r="P25">
        <v>4</v>
      </c>
      <c r="Q25">
        <v>3.2620422653657799E-3</v>
      </c>
      <c r="R25" t="s">
        <v>150</v>
      </c>
    </row>
    <row r="26" spans="1:18" x14ac:dyDescent="0.3">
      <c r="A26" t="s">
        <v>75</v>
      </c>
      <c r="B26">
        <v>-1.0227389170399199</v>
      </c>
      <c r="C26">
        <v>0.38591002967118598</v>
      </c>
      <c r="D26">
        <v>-2.6502004052896502</v>
      </c>
      <c r="E26">
        <v>8.0444037998837203E-3</v>
      </c>
      <c r="F26" t="s">
        <v>151</v>
      </c>
      <c r="G26">
        <v>0.35960865184445201</v>
      </c>
      <c r="H26">
        <v>0.16878617949608099</v>
      </c>
      <c r="I26">
        <v>0.76616689155161199</v>
      </c>
      <c r="J26" t="str">
        <f t="shared" si="0"/>
        <v>0.36 (0.17-0.77)</v>
      </c>
      <c r="K26" t="s">
        <v>149</v>
      </c>
      <c r="L26">
        <v>3.1596546655156899</v>
      </c>
      <c r="M26">
        <v>4.0179184815028002</v>
      </c>
      <c r="N26">
        <v>2.8221590955442499</v>
      </c>
      <c r="O26">
        <v>15.8258033419547</v>
      </c>
      <c r="P26">
        <v>4</v>
      </c>
      <c r="Q26">
        <v>3.2620422653657799E-3</v>
      </c>
      <c r="R26" t="s">
        <v>150</v>
      </c>
    </row>
    <row r="27" spans="1:18" x14ac:dyDescent="0.3">
      <c r="A27" t="s">
        <v>76</v>
      </c>
      <c r="B27">
        <v>-0.47887923448446101</v>
      </c>
      <c r="C27">
        <v>1.07577361566973</v>
      </c>
      <c r="D27">
        <v>-0.445148707413066</v>
      </c>
      <c r="E27">
        <v>0.65621229143048299</v>
      </c>
      <c r="F27" t="s">
        <v>152</v>
      </c>
      <c r="G27">
        <v>0.61947729167014998</v>
      </c>
      <c r="H27">
        <v>7.5215682852647403E-2</v>
      </c>
      <c r="I27">
        <v>5.10202261470896</v>
      </c>
      <c r="J27" t="str">
        <f t="shared" si="0"/>
        <v>0.62 (0.08-5.1)</v>
      </c>
      <c r="K27" t="s">
        <v>149</v>
      </c>
      <c r="L27">
        <v>3.1596546655156899</v>
      </c>
      <c r="M27">
        <v>4.0179184815028002</v>
      </c>
      <c r="N27">
        <v>4.0179184815028002</v>
      </c>
      <c r="O27">
        <v>15.8258033419547</v>
      </c>
      <c r="P27">
        <v>4</v>
      </c>
      <c r="Q27">
        <v>3.2620422653657799E-3</v>
      </c>
      <c r="R27" t="s">
        <v>150</v>
      </c>
    </row>
    <row r="28" spans="1:18" x14ac:dyDescent="0.3">
      <c r="A28" t="s">
        <v>77</v>
      </c>
      <c r="B28">
        <v>-0.27606093701395201</v>
      </c>
      <c r="C28">
        <v>0.624608890211937</v>
      </c>
      <c r="D28">
        <v>-0.44197407584173398</v>
      </c>
      <c r="E28">
        <v>0.65850796556534796</v>
      </c>
      <c r="F28" t="s">
        <v>153</v>
      </c>
      <c r="G28">
        <v>0.75876669237592198</v>
      </c>
      <c r="H28">
        <v>0.223064488812347</v>
      </c>
      <c r="I28">
        <v>2.5809885586200401</v>
      </c>
      <c r="J28" t="str">
        <f t="shared" si="0"/>
        <v>0.76 (0.22-2.58)</v>
      </c>
      <c r="K28" t="s">
        <v>149</v>
      </c>
      <c r="L28">
        <v>3.1596546655156899</v>
      </c>
      <c r="M28">
        <v>4.0179184815028002</v>
      </c>
      <c r="N28">
        <v>1.8204895363881299</v>
      </c>
      <c r="O28">
        <v>15.8258033419547</v>
      </c>
      <c r="P28">
        <v>4</v>
      </c>
      <c r="Q28">
        <v>3.2620422653657799E-3</v>
      </c>
      <c r="R28" t="s">
        <v>150</v>
      </c>
    </row>
    <row r="29" spans="1:18" x14ac:dyDescent="0.3">
      <c r="A29" t="s">
        <v>78</v>
      </c>
      <c r="B29">
        <v>-0.63669720942717001</v>
      </c>
      <c r="C29">
        <v>0.60325743652959896</v>
      </c>
      <c r="D29">
        <v>-1.05543201106636</v>
      </c>
      <c r="E29">
        <v>0.29122778902260299</v>
      </c>
      <c r="F29" t="s">
        <v>154</v>
      </c>
      <c r="G29">
        <v>0.52903683962423498</v>
      </c>
      <c r="H29">
        <v>0.162174593729078</v>
      </c>
      <c r="I29">
        <v>1.7257942273446001</v>
      </c>
      <c r="J29" t="str">
        <f t="shared" si="0"/>
        <v>0.53 (0.16-1.73)</v>
      </c>
      <c r="K29" t="s">
        <v>155</v>
      </c>
      <c r="L29">
        <v>11.730173388150799</v>
      </c>
      <c r="M29">
        <v>22.327106678310098</v>
      </c>
      <c r="N29">
        <v>9.1341818873964993</v>
      </c>
      <c r="O29">
        <v>11.6338445967629</v>
      </c>
      <c r="P29">
        <v>4</v>
      </c>
      <c r="Q29">
        <v>2.02922912937279E-2</v>
      </c>
      <c r="R29" t="s">
        <v>156</v>
      </c>
    </row>
    <row r="30" spans="1:18" x14ac:dyDescent="0.3">
      <c r="A30" t="s">
        <v>79</v>
      </c>
      <c r="B30">
        <v>0.129559991655574</v>
      </c>
      <c r="C30">
        <v>0.85541172887829198</v>
      </c>
      <c r="D30">
        <v>0.15145921815389099</v>
      </c>
      <c r="E30">
        <v>0.87961347885259999</v>
      </c>
      <c r="F30" t="s">
        <v>157</v>
      </c>
      <c r="G30">
        <v>1.1383273995596901</v>
      </c>
      <c r="H30">
        <v>0.21287566907854499</v>
      </c>
      <c r="I30">
        <v>6.0870707967579802</v>
      </c>
      <c r="J30" t="str">
        <f t="shared" si="0"/>
        <v>1.14 (0.21-6.09)</v>
      </c>
      <c r="K30" t="s">
        <v>155</v>
      </c>
      <c r="L30">
        <v>11.730173388150799</v>
      </c>
      <c r="M30">
        <v>22.327106678310098</v>
      </c>
      <c r="N30">
        <v>4.6419171309162301</v>
      </c>
      <c r="O30">
        <v>11.6338445967629</v>
      </c>
      <c r="P30">
        <v>4</v>
      </c>
      <c r="Q30">
        <v>2.02922912937279E-2</v>
      </c>
      <c r="R30" t="s">
        <v>156</v>
      </c>
    </row>
    <row r="31" spans="1:18" x14ac:dyDescent="0.3">
      <c r="A31" t="s">
        <v>80</v>
      </c>
      <c r="B31">
        <v>-5.6444286123831398E-3</v>
      </c>
      <c r="C31">
        <v>1.61129661073971</v>
      </c>
      <c r="D31">
        <v>-3.5030351176571399E-3</v>
      </c>
      <c r="E31">
        <v>0.99720498808005598</v>
      </c>
      <c r="F31" t="s">
        <v>158</v>
      </c>
      <c r="G31">
        <v>0.99437147124552705</v>
      </c>
      <c r="H31">
        <v>4.2265429961454798E-2</v>
      </c>
      <c r="I31">
        <v>23.394405870914699</v>
      </c>
      <c r="J31" t="str">
        <f t="shared" si="0"/>
        <v>0.99 (0.04-23.39)</v>
      </c>
      <c r="K31" t="s">
        <v>155</v>
      </c>
      <c r="L31">
        <v>11.730173388150799</v>
      </c>
      <c r="M31">
        <v>22.327106678310098</v>
      </c>
      <c r="N31">
        <v>22.327106678310098</v>
      </c>
      <c r="O31">
        <v>11.6338445967629</v>
      </c>
      <c r="P31">
        <v>4</v>
      </c>
      <c r="Q31">
        <v>2.02922912937279E-2</v>
      </c>
      <c r="R31" t="s">
        <v>156</v>
      </c>
    </row>
    <row r="32" spans="1:18" x14ac:dyDescent="0.3">
      <c r="A32" t="s">
        <v>81</v>
      </c>
      <c r="B32">
        <v>3.3503669116414398</v>
      </c>
      <c r="C32">
        <v>2.2834523506290498</v>
      </c>
      <c r="D32">
        <v>1.46723749708133</v>
      </c>
      <c r="E32">
        <v>0.14231145981363799</v>
      </c>
      <c r="F32" t="s">
        <v>159</v>
      </c>
      <c r="G32">
        <v>28.5131935473668</v>
      </c>
      <c r="H32">
        <v>0.32458764216471703</v>
      </c>
      <c r="I32">
        <v>2504.7232262066</v>
      </c>
      <c r="J32" t="str">
        <f t="shared" si="0"/>
        <v>28.51 (0.32-2504.72)</v>
      </c>
      <c r="K32" t="s">
        <v>155</v>
      </c>
      <c r="L32">
        <v>11.730173388150799</v>
      </c>
      <c r="M32">
        <v>22.327106678310098</v>
      </c>
      <c r="N32">
        <v>10.817487855980501</v>
      </c>
      <c r="O32">
        <v>11.6338445967629</v>
      </c>
      <c r="P32">
        <v>4</v>
      </c>
      <c r="Q32">
        <v>2.02922912937279E-2</v>
      </c>
      <c r="R32" t="s">
        <v>156</v>
      </c>
    </row>
    <row r="33" spans="1:18" x14ac:dyDescent="0.3">
      <c r="A33" t="s">
        <v>82</v>
      </c>
      <c r="B33">
        <v>-1.0068085504545199</v>
      </c>
      <c r="C33">
        <v>0.39275600589555798</v>
      </c>
      <c r="D33">
        <v>-2.5634453333407401</v>
      </c>
      <c r="E33">
        <v>1.0363902024089801E-2</v>
      </c>
      <c r="F33" t="s">
        <v>160</v>
      </c>
      <c r="G33">
        <v>0.36538322289205599</v>
      </c>
      <c r="H33">
        <v>0.16921074619943599</v>
      </c>
      <c r="I33">
        <v>0.78898593954330998</v>
      </c>
      <c r="J33" t="str">
        <f t="shared" si="0"/>
        <v>0.37 (0.17-0.79)</v>
      </c>
      <c r="K33" t="s">
        <v>161</v>
      </c>
      <c r="L33">
        <v>3.14603660004768</v>
      </c>
      <c r="M33">
        <v>4.4093612298265903</v>
      </c>
      <c r="N33">
        <v>3.7961575046997198</v>
      </c>
      <c r="O33">
        <v>9.6314630916931492</v>
      </c>
      <c r="P33">
        <v>4</v>
      </c>
      <c r="Q33">
        <v>4.7114947833166998E-2</v>
      </c>
      <c r="R33" t="s">
        <v>162</v>
      </c>
    </row>
    <row r="34" spans="1:18" x14ac:dyDescent="0.3">
      <c r="A34" t="s">
        <v>83</v>
      </c>
      <c r="B34">
        <v>-0.21373705111503299</v>
      </c>
      <c r="C34">
        <v>0.35188612731719499</v>
      </c>
      <c r="D34">
        <v>-0.60740402795807602</v>
      </c>
      <c r="E34">
        <v>0.54358281601884195</v>
      </c>
      <c r="F34" t="s">
        <v>163</v>
      </c>
      <c r="G34">
        <v>0.80756070429363802</v>
      </c>
      <c r="H34">
        <v>0.40517595045302002</v>
      </c>
      <c r="I34">
        <v>1.60955824349909</v>
      </c>
      <c r="J34" t="str">
        <f t="shared" si="0"/>
        <v>0.81 (0.41-1.61)</v>
      </c>
      <c r="K34" t="s">
        <v>161</v>
      </c>
      <c r="L34">
        <v>3.14603660004768</v>
      </c>
      <c r="M34">
        <v>4.4093612298265903</v>
      </c>
      <c r="N34">
        <v>2.5586827944720398</v>
      </c>
      <c r="O34">
        <v>9.6314630916931492</v>
      </c>
      <c r="P34">
        <v>4</v>
      </c>
      <c r="Q34">
        <v>4.7114947833166998E-2</v>
      </c>
      <c r="R34" t="s">
        <v>162</v>
      </c>
    </row>
    <row r="35" spans="1:18" x14ac:dyDescent="0.3">
      <c r="A35" t="s">
        <v>84</v>
      </c>
      <c r="B35">
        <v>-1.1832188268433701</v>
      </c>
      <c r="C35">
        <v>0.914008554896661</v>
      </c>
      <c r="D35">
        <v>-1.2945380221054399</v>
      </c>
      <c r="E35">
        <v>0.19547964471134699</v>
      </c>
      <c r="F35" t="s">
        <v>164</v>
      </c>
      <c r="G35">
        <v>0.306291251676234</v>
      </c>
      <c r="H35">
        <v>5.1063996761906802E-2</v>
      </c>
      <c r="I35">
        <v>1.83719130507581</v>
      </c>
      <c r="J35" t="str">
        <f t="shared" si="0"/>
        <v>0.31 (0.05-1.84)</v>
      </c>
      <c r="K35" t="s">
        <v>161</v>
      </c>
      <c r="L35">
        <v>3.14603660004768</v>
      </c>
      <c r="M35">
        <v>4.4093612298265903</v>
      </c>
      <c r="N35">
        <v>4.4093612298265903</v>
      </c>
      <c r="O35">
        <v>9.6314630916931492</v>
      </c>
      <c r="P35">
        <v>4</v>
      </c>
      <c r="Q35">
        <v>4.7114947833166998E-2</v>
      </c>
      <c r="R35" t="s">
        <v>162</v>
      </c>
    </row>
    <row r="36" spans="1:18" x14ac:dyDescent="0.3">
      <c r="A36" t="s">
        <v>85</v>
      </c>
      <c r="B36">
        <v>-0.90904653887013598</v>
      </c>
      <c r="C36">
        <v>0.60152426199081299</v>
      </c>
      <c r="D36">
        <v>-1.51123835946624</v>
      </c>
      <c r="E36">
        <v>0.130727732401027</v>
      </c>
      <c r="F36" t="s">
        <v>165</v>
      </c>
      <c r="G36">
        <v>0.40290819825824098</v>
      </c>
      <c r="H36">
        <v>0.12393053247050601</v>
      </c>
      <c r="I36">
        <v>1.3098871842766899</v>
      </c>
      <c r="J36" t="str">
        <f t="shared" si="0"/>
        <v>0.4 (0.12-1.31)</v>
      </c>
      <c r="K36" t="s">
        <v>161</v>
      </c>
      <c r="L36">
        <v>3.14603660004768</v>
      </c>
      <c r="M36">
        <v>4.4093612298265903</v>
      </c>
      <c r="N36">
        <v>1.81994487119236</v>
      </c>
      <c r="O36">
        <v>9.6314630916931492</v>
      </c>
      <c r="P36">
        <v>4</v>
      </c>
      <c r="Q36">
        <v>4.7114947833166998E-2</v>
      </c>
      <c r="R36" t="s">
        <v>162</v>
      </c>
    </row>
    <row r="37" spans="1:18" x14ac:dyDescent="0.3">
      <c r="A37" t="s">
        <v>86</v>
      </c>
      <c r="B37">
        <v>0.26436200224162998</v>
      </c>
      <c r="C37">
        <v>0.5327889332379</v>
      </c>
      <c r="D37">
        <v>0.49618523537084802</v>
      </c>
      <c r="E37">
        <v>0.61976372697154103</v>
      </c>
      <c r="F37" t="s">
        <v>166</v>
      </c>
      <c r="G37">
        <v>1.30259965495624</v>
      </c>
      <c r="H37">
        <v>0.45844987969428802</v>
      </c>
      <c r="I37">
        <v>3.70109348097896</v>
      </c>
      <c r="J37" t="str">
        <f t="shared" si="0"/>
        <v>1.3 (0.46-3.7)</v>
      </c>
      <c r="K37" t="s">
        <v>167</v>
      </c>
      <c r="L37">
        <v>6.0892681357988296</v>
      </c>
      <c r="M37">
        <v>11.971515032184501</v>
      </c>
      <c r="N37">
        <v>6.8603889551023496</v>
      </c>
      <c r="O37">
        <v>42.018193216967802</v>
      </c>
      <c r="P37">
        <v>4</v>
      </c>
      <c r="Q37">
        <v>1.6537409856373199E-8</v>
      </c>
      <c r="R37" t="s">
        <v>168</v>
      </c>
    </row>
    <row r="38" spans="1:18" x14ac:dyDescent="0.3">
      <c r="A38" t="s">
        <v>87</v>
      </c>
      <c r="B38">
        <v>2.1152009017305198</v>
      </c>
      <c r="C38">
        <v>0.59812981604350801</v>
      </c>
      <c r="D38">
        <v>3.5363575681983099</v>
      </c>
      <c r="E38">
        <v>4.0568519289020102E-4</v>
      </c>
      <c r="F38" t="s">
        <v>169</v>
      </c>
      <c r="G38">
        <v>8.2912513255462503</v>
      </c>
      <c r="H38">
        <v>2.5673300357514699</v>
      </c>
      <c r="I38">
        <v>26.7767866172494</v>
      </c>
      <c r="J38" t="str">
        <f t="shared" si="0"/>
        <v>8.29 (2.57-26.78)</v>
      </c>
      <c r="K38" t="s">
        <v>167</v>
      </c>
      <c r="L38">
        <v>6.0892681357988296</v>
      </c>
      <c r="M38">
        <v>11.971515032184501</v>
      </c>
      <c r="N38">
        <v>3.27569461211655</v>
      </c>
      <c r="O38">
        <v>42.018193216967802</v>
      </c>
      <c r="P38">
        <v>4</v>
      </c>
      <c r="Q38">
        <v>1.6537409856373199E-8</v>
      </c>
      <c r="R38" t="s">
        <v>168</v>
      </c>
    </row>
    <row r="39" spans="1:18" x14ac:dyDescent="0.3">
      <c r="A39" t="s">
        <v>88</v>
      </c>
      <c r="B39">
        <v>2.6881170132924499</v>
      </c>
      <c r="C39">
        <v>1.3118250842935799</v>
      </c>
      <c r="D39">
        <v>2.04914286628388</v>
      </c>
      <c r="E39">
        <v>4.04481468978036E-2</v>
      </c>
      <c r="F39" t="s">
        <v>170</v>
      </c>
      <c r="G39">
        <v>14.703962470721599</v>
      </c>
      <c r="H39">
        <v>1.12405181377882</v>
      </c>
      <c r="I39">
        <v>192.34568165817001</v>
      </c>
      <c r="J39" t="str">
        <f t="shared" si="0"/>
        <v>14.7 (1.12-192.35)</v>
      </c>
      <c r="K39" t="s">
        <v>167</v>
      </c>
      <c r="L39">
        <v>6.0892681357988296</v>
      </c>
      <c r="M39">
        <v>11.971515032184501</v>
      </c>
      <c r="N39">
        <v>11.971515032184501</v>
      </c>
      <c r="O39">
        <v>42.018193216967802</v>
      </c>
      <c r="P39">
        <v>4</v>
      </c>
      <c r="Q39">
        <v>1.6537409856373199E-8</v>
      </c>
      <c r="R39" t="s">
        <v>168</v>
      </c>
    </row>
    <row r="40" spans="1:18" x14ac:dyDescent="0.3">
      <c r="A40" t="s">
        <v>89</v>
      </c>
      <c r="B40">
        <v>3.1482953362010799</v>
      </c>
      <c r="C40">
        <v>1.16622804407235</v>
      </c>
      <c r="D40">
        <v>2.6995537898467399</v>
      </c>
      <c r="E40">
        <v>6.9432530639445501E-3</v>
      </c>
      <c r="F40" t="s">
        <v>171</v>
      </c>
      <c r="G40">
        <v>23.296318323070601</v>
      </c>
      <c r="H40">
        <v>2.3690484338534601</v>
      </c>
      <c r="I40">
        <v>229.087105039493</v>
      </c>
      <c r="J40" t="str">
        <f t="shared" si="0"/>
        <v>23.3 (2.37-229.09)</v>
      </c>
      <c r="K40" t="s">
        <v>167</v>
      </c>
      <c r="L40">
        <v>6.0892681357988296</v>
      </c>
      <c r="M40">
        <v>11.971515032184501</v>
      </c>
      <c r="N40">
        <v>2.2494739437918998</v>
      </c>
      <c r="O40">
        <v>42.018193216967802</v>
      </c>
      <c r="P40">
        <v>4</v>
      </c>
      <c r="Q40">
        <v>1.6537409856373199E-8</v>
      </c>
      <c r="R40" t="s">
        <v>168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172</v>
      </c>
    </row>
    <row r="2" spans="1:1" x14ac:dyDescent="0.3">
      <c r="A2" t="s">
        <v>173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2025-10-13T03:51:47Z</dcterms:created>
  <dcterms:modified xsi:type="dcterms:W3CDTF">2025-10-22T07:24:34Z</dcterms:modified>
</cp:coreProperties>
</file>