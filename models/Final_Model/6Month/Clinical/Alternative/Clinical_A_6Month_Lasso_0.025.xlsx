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6Month\Clinical\Alternative\"/>
    </mc:Choice>
  </mc:AlternateContent>
  <xr:revisionPtr revIDLastSave="0" documentId="13_ncr:1_{BBD6C3EA-0453-4430-9DF2-0DB263160A8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</calcChain>
</file>

<file path=xl/sharedStrings.xml><?xml version="1.0" encoding="utf-8"?>
<sst xmlns="http://schemas.openxmlformats.org/spreadsheetml/2006/main" count="127" uniqueCount="91">
  <si>
    <t>Item</t>
  </si>
  <si>
    <t>Value</t>
  </si>
  <si>
    <t>Formula</t>
  </si>
  <si>
    <t>GOSE_6_Unfav ~ Age + InjuryHx.InjCause + arr_GCS_derived + arr_pp_size + arr_pp_prompt + head_neck_AIS</t>
  </si>
  <si>
    <t>N_total</t>
  </si>
  <si>
    <t>2722</t>
  </si>
  <si>
    <t>Pos_Level</t>
  </si>
  <si>
    <t>1</t>
  </si>
  <si>
    <t>Penalty</t>
  </si>
  <si>
    <t>lasso</t>
  </si>
  <si>
    <t>Alpha</t>
  </si>
  <si>
    <t>Lambda_Chosen</t>
  </si>
  <si>
    <t>0.025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</si>
  <si>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</si>
  <si>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</si>
  <si>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</si>
  <si>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</si>
  <si>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</si>
  <si>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</si>
  <si>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</si>
  <si>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</si>
  <si>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</si>
  <si>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</si>
  <si>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</si>
  <si>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</si>
  <si>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</si>
  <si>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</si>
  <si>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</si>
  <si>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</si>
  <si>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</si>
  <si>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</si>
  <si>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</si>
  <si>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</si>
  <si>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</si>
  <si>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</si>
  <si>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</si>
  <si>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</si>
  <si>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</si>
  <si>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</si>
  <si>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</si>
  <si>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</si>
  <si>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</si>
  <si>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</si>
  <si>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</si>
  <si>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</si>
  <si>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</si>
  <si>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</si>
  <si>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</si>
  <si>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</si>
  <si>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lambda=0.025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</si>
  <si>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</si>
  <si>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</si>
  <si>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</si>
  <si>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</si>
  <si>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</si>
  <si>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</si>
  <si>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arr_pp_sizebilaterally mydriatic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</si>
  <si>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</si>
  <si>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</si>
  <si>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</si>
  <si>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</si>
  <si>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</si>
  <si>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</si>
  <si>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</si>
  <si>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</si>
  <si>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</si>
  <si>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</si>
  <si>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</si>
  <si>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</si>
  <si>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</si>
  <si>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</si>
  <si>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</si>
  <si>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</si>
  <si>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</si>
  <si>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</si>
  <si>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0.102</t>
  </si>
  <si>
    <t>InjuryHx.InjCause</t>
  </si>
  <si>
    <t>0.000743</t>
  </si>
  <si>
    <t>0.142</t>
  </si>
  <si>
    <t>0.00429</t>
  </si>
  <si>
    <t>0.000759</t>
  </si>
  <si>
    <t>arr_pp_size</t>
  </si>
  <si>
    <t>0.000199</t>
  </si>
  <si>
    <t>6.59e-12</t>
  </si>
  <si>
    <t>arr_pp_prompt</t>
  </si>
  <si>
    <t>4.74e-13</t>
  </si>
  <si>
    <t>8.44e-10</t>
  </si>
  <si>
    <t>head_neck_AIS</t>
  </si>
  <si>
    <t>JSON</t>
  </si>
  <si>
    <t>{"formula":"GOSE_6_Unfav ~ Age + InjuryHx.InjCause + arr_GCS_derived + arr_pp_size + arr_pp_prompt + head_neck_AIS","penalty":"lasso","alpha":1,"lambda":0.025,"x_names":["Age","InjuryHx.InjCause1","InjuryHx.InjCause3","InjuryHx.InjCause88","arr_GCS_derived","arr_pp_sizebilaterally mydriatic","arr_pp_promptbilateral absence","head_neck_AIS4","head_neck_AIS5"],"train_test":false,"test_prop":{},"split_seed":{},"standardize":true,"threshold":0.5,"family":"binomial","link":"logit"}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</si>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</sst>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2722</v>
      </c>
      <c r="C2">
        <v>1037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0.87790000000000001</v>
      </c>
    </row>
    <row r="3" spans="1:2" x14ac:dyDescent="0.3">
      <c r="A3" t="s">
        <v>30</v>
      </c>
      <c r="B3">
        <v>0.8075</v>
      </c>
    </row>
    <row r="4" spans="1:2" x14ac:dyDescent="0.3">
      <c r="A4" t="s">
        <v>31</v>
      </c>
      <c r="B4">
        <v>0.66059999999999997</v>
      </c>
    </row>
    <row r="5" spans="1:2" x14ac:dyDescent="0.3">
      <c r="A5" t="s">
        <v>32</v>
      </c>
      <c r="B5">
        <v>0.79930000000000001</v>
      </c>
    </row>
    <row r="6" spans="1:2" x14ac:dyDescent="0.3">
      <c r="A6" t="s">
        <v>33</v>
      </c>
      <c r="B6">
        <v>0.72330000000000005</v>
      </c>
    </row>
    <row r="7" spans="1:2" x14ac:dyDescent="0.3">
      <c r="A7" t="s">
        <v>34</v>
      </c>
      <c r="B7">
        <v>0.35189999999999999</v>
      </c>
    </row>
    <row r="8" spans="1:2" x14ac:dyDescent="0.3">
      <c r="A8" t="s">
        <v>35</v>
      </c>
      <c r="B8">
        <v>2358.5100000000002</v>
      </c>
    </row>
    <row r="9" spans="1:2" x14ac:dyDescent="0.3">
      <c r="A9" t="s">
        <v>36</v>
      </c>
      <c r="B9">
        <v>0.13669999999999999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-1.21504012476343E-7</v>
      </c>
      <c r="C2">
        <v>4.8052993064983299E-2</v>
      </c>
      <c r="D2">
        <v>-2.52854202675845E-6</v>
      </c>
      <c r="E2">
        <v>0.99999798251535599</v>
      </c>
      <c r="F2">
        <v>-9.4183987911379802E-2</v>
      </c>
      <c r="G2">
        <v>9.4183744903354794E-2</v>
      </c>
    </row>
    <row r="3" spans="1:7" x14ac:dyDescent="0.3">
      <c r="A3" t="s">
        <v>45</v>
      </c>
      <c r="B3">
        <v>1.3024834766344</v>
      </c>
      <c r="C3">
        <v>4.8452857054757201E-2</v>
      </c>
      <c r="D3">
        <v>26.881458716922399</v>
      </c>
      <c r="E3">
        <v>3.6183248318018399E-159</v>
      </c>
      <c r="F3">
        <v>1.2075158768070799</v>
      </c>
      <c r="G3">
        <v>1.3974510764617201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-0.85853626833039898</v>
      </c>
    </row>
    <row r="3" spans="1:3" x14ac:dyDescent="0.3">
      <c r="A3" t="s">
        <v>49</v>
      </c>
      <c r="B3" t="s">
        <v>51</v>
      </c>
      <c r="C3">
        <v>2.85555905174729E-2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-0.18466777766130699</v>
      </c>
    </row>
    <row r="8" spans="1:3" x14ac:dyDescent="0.3">
      <c r="A8" t="s">
        <v>49</v>
      </c>
      <c r="B8" t="s">
        <v>56</v>
      </c>
      <c r="C8">
        <v>0.219685262069403</v>
      </c>
    </row>
    <row r="9" spans="1:3" x14ac:dyDescent="0.3">
      <c r="A9" t="s">
        <v>49</v>
      </c>
      <c r="B9" t="s">
        <v>57</v>
      </c>
      <c r="C9">
        <v>1.08902996619751</v>
      </c>
    </row>
    <row r="10" spans="1:3" x14ac:dyDescent="0.3">
      <c r="A10" t="s">
        <v>49</v>
      </c>
      <c r="B10" t="s">
        <v>58</v>
      </c>
      <c r="C10">
        <v>0.13325559290617001</v>
      </c>
    </row>
    <row r="11" spans="1:3" x14ac:dyDescent="0.3">
      <c r="A11" t="s">
        <v>49</v>
      </c>
      <c r="B11" t="s">
        <v>59</v>
      </c>
      <c r="C11">
        <v>0.99334533702086802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"/>
  <sheetViews>
    <sheetView tabSelected="1" workbookViewId="0">
      <pane xSplit="1" topLeftCell="F1" activePane="topRight" state="frozen"/>
      <selection pane="topRight" activeCell="M7" sqref="M7"/>
    </sheetView>
  </sheetViews>
  <sheetFormatPr defaultColWidth="11.5546875" defaultRowHeight="14.4" x14ac:dyDescent="0.3"/>
  <sheetData>
    <row r="1" spans="1:18" x14ac:dyDescent="0.3">
      <c r="A1" t="s">
        <v>60</v>
      </c>
      <c r="B1" t="s">
        <v>61</v>
      </c>
      <c r="C1" t="s">
        <v>62</v>
      </c>
      <c r="D1" t="s">
        <v>63</v>
      </c>
      <c r="E1" t="s">
        <v>41</v>
      </c>
      <c r="F1" t="s">
        <v>64</v>
      </c>
      <c r="G1" t="s">
        <v>65</v>
      </c>
      <c r="H1" t="s">
        <v>42</v>
      </c>
      <c r="I1" t="s">
        <v>43</v>
      </c>
      <c r="J1" t="s">
        <v>90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3">
      <c r="A2" t="s">
        <v>51</v>
      </c>
      <c r="B2">
        <v>4.6162504928927303E-2</v>
      </c>
      <c r="C2">
        <v>3.4875961128388402E-3</v>
      </c>
      <c r="D2">
        <v>13.236195773641899</v>
      </c>
      <c r="E2">
        <v>5.4226752792181501E-40</v>
      </c>
      <c r="F2" t="s">
        <v>74</v>
      </c>
      <c r="G2">
        <v>1.04724457953591</v>
      </c>
      <c r="H2">
        <v>1.0401103533845899</v>
      </c>
      <c r="I2">
        <v>1.0544277400936799</v>
      </c>
      <c r="J2" t="str">
        <f>_xlfn.CONCAT(ROUND(G2,3), " (", ROUND(H2,3), "-", ROUND(I2,3), ")")</f>
        <v>1.047 (1.04-1.054)</v>
      </c>
      <c r="K2" t="s">
        <v>51</v>
      </c>
      <c r="L2">
        <v>1.0975622083510901</v>
      </c>
      <c r="M2">
        <v>1.0975622083510901</v>
      </c>
      <c r="N2">
        <v>1.0975622083510901</v>
      </c>
      <c r="O2">
        <v>204.094930089613</v>
      </c>
      <c r="P2">
        <v>1</v>
      </c>
      <c r="Q2">
        <v>2.6685205029023001E-46</v>
      </c>
      <c r="R2" t="s">
        <v>74</v>
      </c>
    </row>
    <row r="3" spans="1:18" x14ac:dyDescent="0.3">
      <c r="A3" t="s">
        <v>52</v>
      </c>
      <c r="B3">
        <v>0.19281532690917899</v>
      </c>
      <c r="C3">
        <v>0.118006640058283</v>
      </c>
      <c r="D3">
        <v>1.6339362498072001</v>
      </c>
      <c r="E3">
        <v>0.102272237206226</v>
      </c>
      <c r="F3" t="s">
        <v>75</v>
      </c>
      <c r="G3">
        <v>1.2126588273857299</v>
      </c>
      <c r="H3">
        <v>0.96225317467316396</v>
      </c>
      <c r="I3">
        <v>1.5282271551205999</v>
      </c>
      <c r="J3" t="str">
        <f t="shared" ref="J3:J10" si="0">_xlfn.CONCAT(ROUND(G3,2), " (", ROUND(H3,2), "-", ROUND(I3,2), ")")</f>
        <v>1.21 (0.96-1.53)</v>
      </c>
      <c r="K3" t="s">
        <v>76</v>
      </c>
      <c r="L3">
        <v>1.1315437378645801</v>
      </c>
      <c r="M3">
        <v>1.2128963865143501</v>
      </c>
      <c r="N3">
        <v>1.2128963865143501</v>
      </c>
      <c r="O3">
        <v>16.894288722180999</v>
      </c>
      <c r="P3">
        <v>3</v>
      </c>
      <c r="Q3">
        <v>7.4301664082932004E-4</v>
      </c>
      <c r="R3" t="s">
        <v>77</v>
      </c>
    </row>
    <row r="4" spans="1:18" x14ac:dyDescent="0.3">
      <c r="A4" t="s">
        <v>53</v>
      </c>
      <c r="B4">
        <v>-0.402526805262376</v>
      </c>
      <c r="C4">
        <v>0.27426864981669702</v>
      </c>
      <c r="D4">
        <v>-1.4676369520592201</v>
      </c>
      <c r="E4">
        <v>0.14220286499305901</v>
      </c>
      <c r="F4" t="s">
        <v>78</v>
      </c>
      <c r="G4">
        <v>0.668628415925824</v>
      </c>
      <c r="H4">
        <v>0.39059136847457199</v>
      </c>
      <c r="I4">
        <v>1.14458227873661</v>
      </c>
      <c r="J4" t="str">
        <f t="shared" si="0"/>
        <v>0.67 (0.39-1.14)</v>
      </c>
      <c r="K4" t="s">
        <v>76</v>
      </c>
      <c r="L4">
        <v>1.1315437378645801</v>
      </c>
      <c r="M4">
        <v>1.2128963865143501</v>
      </c>
      <c r="N4">
        <v>1.10889638219997</v>
      </c>
      <c r="O4">
        <v>16.894288722180999</v>
      </c>
      <c r="P4">
        <v>3</v>
      </c>
      <c r="Q4">
        <v>7.4301664082932004E-4</v>
      </c>
      <c r="R4" t="s">
        <v>77</v>
      </c>
    </row>
    <row r="5" spans="1:18" x14ac:dyDescent="0.3">
      <c r="A5" t="s">
        <v>54</v>
      </c>
      <c r="B5">
        <v>-0.64247617254142897</v>
      </c>
      <c r="C5">
        <v>0.224934587696514</v>
      </c>
      <c r="D5">
        <v>-2.8562800373247601</v>
      </c>
      <c r="E5">
        <v>4.2863689230581902E-3</v>
      </c>
      <c r="F5" t="s">
        <v>79</v>
      </c>
      <c r="G5">
        <v>0.52598837221630101</v>
      </c>
      <c r="H5">
        <v>0.33846047302376903</v>
      </c>
      <c r="I5">
        <v>0.81741825045350403</v>
      </c>
      <c r="J5" t="str">
        <f t="shared" si="0"/>
        <v>0.53 (0.34-0.82)</v>
      </c>
      <c r="K5" t="s">
        <v>76</v>
      </c>
      <c r="L5">
        <v>1.1315437378645801</v>
      </c>
      <c r="M5">
        <v>1.2128963865143501</v>
      </c>
      <c r="N5">
        <v>1.0728384448794299</v>
      </c>
      <c r="O5">
        <v>16.894288722180999</v>
      </c>
      <c r="P5">
        <v>3</v>
      </c>
      <c r="Q5">
        <v>7.4301664082932004E-4</v>
      </c>
      <c r="R5" t="s">
        <v>77</v>
      </c>
    </row>
    <row r="6" spans="1:18" x14ac:dyDescent="0.3">
      <c r="A6" t="s">
        <v>55</v>
      </c>
      <c r="B6">
        <v>-0.21138006835329101</v>
      </c>
      <c r="C6">
        <v>1.47533200793722E-2</v>
      </c>
      <c r="D6">
        <v>-14.327627084349601</v>
      </c>
      <c r="E6">
        <v>1.47060065668338E-46</v>
      </c>
      <c r="F6" t="s">
        <v>74</v>
      </c>
      <c r="G6">
        <v>0.80946635586445304</v>
      </c>
      <c r="H6">
        <v>0.78639460094240099</v>
      </c>
      <c r="I6">
        <v>0.83321500489862699</v>
      </c>
      <c r="J6" t="str">
        <f t="shared" si="0"/>
        <v>0.81 (0.79-0.83)</v>
      </c>
      <c r="K6" t="s">
        <v>55</v>
      </c>
      <c r="L6">
        <v>1.7041198700674001</v>
      </c>
      <c r="M6">
        <v>1.7041198700674001</v>
      </c>
      <c r="N6">
        <v>1.7041198700674001</v>
      </c>
      <c r="O6">
        <v>223.462014787073</v>
      </c>
      <c r="P6">
        <v>1</v>
      </c>
      <c r="Q6">
        <v>1.5894835336569699E-50</v>
      </c>
      <c r="R6" t="s">
        <v>74</v>
      </c>
    </row>
    <row r="7" spans="1:18" x14ac:dyDescent="0.3">
      <c r="A7" t="s">
        <v>56</v>
      </c>
      <c r="B7">
        <v>1.3562035304937301</v>
      </c>
      <c r="C7">
        <v>0.40274016452164202</v>
      </c>
      <c r="D7">
        <v>3.3674404739457202</v>
      </c>
      <c r="E7">
        <v>7.5869403224703802E-4</v>
      </c>
      <c r="F7" t="s">
        <v>80</v>
      </c>
      <c r="G7">
        <v>3.8814295655044302</v>
      </c>
      <c r="H7">
        <v>1.7626754697104501</v>
      </c>
      <c r="I7">
        <v>8.5469479384351406</v>
      </c>
      <c r="J7" t="str">
        <f t="shared" si="0"/>
        <v>3.88 (1.76-8.55)</v>
      </c>
      <c r="K7" t="s">
        <v>81</v>
      </c>
      <c r="L7">
        <v>1.3642035257324301</v>
      </c>
      <c r="M7">
        <v>1.3642035257324301</v>
      </c>
      <c r="N7">
        <v>1.3642035257324301</v>
      </c>
      <c r="O7">
        <v>13.8383878001223</v>
      </c>
      <c r="P7">
        <v>1</v>
      </c>
      <c r="Q7">
        <v>1.9922407141374399E-4</v>
      </c>
      <c r="R7" t="s">
        <v>82</v>
      </c>
    </row>
    <row r="8" spans="1:18" x14ac:dyDescent="0.3">
      <c r="A8" t="s">
        <v>57</v>
      </c>
      <c r="B8">
        <v>1.2649757240612101</v>
      </c>
      <c r="C8">
        <v>0.18423266343497999</v>
      </c>
      <c r="D8">
        <v>6.8661859437734796</v>
      </c>
      <c r="E8">
        <v>6.5941113008484199E-12</v>
      </c>
      <c r="F8" t="s">
        <v>83</v>
      </c>
      <c r="G8">
        <v>3.5430067252506001</v>
      </c>
      <c r="H8">
        <v>2.4691641775779898</v>
      </c>
      <c r="I8">
        <v>5.0838647219822297</v>
      </c>
      <c r="J8" t="str">
        <f t="shared" si="0"/>
        <v>3.54 (2.47-5.08)</v>
      </c>
      <c r="K8" t="s">
        <v>84</v>
      </c>
      <c r="L8">
        <v>1.7703374855113001</v>
      </c>
      <c r="M8">
        <v>1.7703374855113001</v>
      </c>
      <c r="N8">
        <v>1.7703374855113001</v>
      </c>
      <c r="O8">
        <v>52.310815841453902</v>
      </c>
      <c r="P8">
        <v>1</v>
      </c>
      <c r="Q8">
        <v>4.7375795284048796E-13</v>
      </c>
      <c r="R8" t="s">
        <v>85</v>
      </c>
    </row>
    <row r="9" spans="1:18" x14ac:dyDescent="0.3">
      <c r="A9" t="s">
        <v>58</v>
      </c>
      <c r="B9">
        <v>0.89509986442976397</v>
      </c>
      <c r="C9">
        <v>0.14586623935645401</v>
      </c>
      <c r="D9">
        <v>6.1364430068180704</v>
      </c>
      <c r="E9">
        <v>8.43896197402426E-10</v>
      </c>
      <c r="F9" t="s">
        <v>86</v>
      </c>
      <c r="G9">
        <v>2.4475802034592999</v>
      </c>
      <c r="H9">
        <v>1.8389633852656699</v>
      </c>
      <c r="I9">
        <v>3.2576226913296602</v>
      </c>
      <c r="J9" t="str">
        <f t="shared" si="0"/>
        <v>2.45 (1.84-3.26)</v>
      </c>
      <c r="K9" t="s">
        <v>87</v>
      </c>
      <c r="L9">
        <v>1.52663747679194</v>
      </c>
      <c r="M9">
        <v>1.7142007313760099</v>
      </c>
      <c r="N9">
        <v>1.33907422220787</v>
      </c>
      <c r="O9">
        <v>169.09828823599099</v>
      </c>
      <c r="P9">
        <v>2</v>
      </c>
      <c r="Q9">
        <v>1.9088564066799601E-37</v>
      </c>
      <c r="R9" t="s">
        <v>74</v>
      </c>
    </row>
    <row r="10" spans="1:18" x14ac:dyDescent="0.3">
      <c r="A10" t="s">
        <v>59</v>
      </c>
      <c r="B10">
        <v>1.73561590952628</v>
      </c>
      <c r="C10">
        <v>0.138766152437651</v>
      </c>
      <c r="D10">
        <v>12.507487445874901</v>
      </c>
      <c r="E10">
        <v>6.7939340535168501E-36</v>
      </c>
      <c r="F10" t="s">
        <v>74</v>
      </c>
      <c r="G10">
        <v>5.6724204259023399</v>
      </c>
      <c r="H10">
        <v>4.3216369355431601</v>
      </c>
      <c r="I10">
        <v>7.4454087578622801</v>
      </c>
      <c r="J10" t="str">
        <f t="shared" si="0"/>
        <v>5.67 (4.32-7.45)</v>
      </c>
      <c r="K10" t="s">
        <v>87</v>
      </c>
      <c r="L10">
        <v>1.52663747679194</v>
      </c>
      <c r="M10">
        <v>1.7142007313760099</v>
      </c>
      <c r="N10">
        <v>1.7142007313760099</v>
      </c>
      <c r="O10">
        <v>169.09828823599099</v>
      </c>
      <c r="P10">
        <v>2</v>
      </c>
      <c r="Q10">
        <v>1.9088564066799601E-37</v>
      </c>
      <c r="R10" t="s">
        <v>74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88</v>
      </c>
    </row>
    <row r="2" spans="1:1" x14ac:dyDescent="0.3">
      <c r="A2" t="s">
        <v>89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2025-10-13T00:25:45Z</dcterms:created>
  <dcterms:modified xsi:type="dcterms:W3CDTF">2025-10-22T08:10:47Z</dcterms:modified>
</cp:coreProperties>
</file>