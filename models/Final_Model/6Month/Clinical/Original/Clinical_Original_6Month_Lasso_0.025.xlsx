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6Month\Clinical\Original\"/>
    </mc:Choice>
  </mc:AlternateContent>
  <xr:revisionPtr revIDLastSave="0" documentId="13_ncr:1_{3E6B5856-3A62-4451-8DF5-8ADF5150604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2" i="6"/>
</calcChain>
</file>

<file path=xl/sharedStrings.xml><?xml version="1.0" encoding="utf-8"?>
<sst xmlns="http://schemas.openxmlformats.org/spreadsheetml/2006/main" count="151" uniqueCount="101">
  <si>
    <t>Item</t>
  </si>
  <si>
    <t>Value</t>
  </si>
  <si>
    <t>Formula</t>
  </si>
  <si>
    <t>GOSE_6_Unfav ~ Age + InjuryHx.InjCause + arr_status + Upper_Lower_Extremities_imputed + arr_pp_size + arr_pp_prompt + head_neck_AIS</t>
  </si>
  <si>
    <t>N_total</t>
  </si>
  <si>
    <t>2722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</si>
  <si>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</si>
  <si>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</si>
  <si>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</si>
  <si>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</si>
  <si>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</si>
  <si>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</si>
  <si>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</si>
  <si>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</si>
  <si>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</si>
  <si>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</si>
  <si>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</si>
  <si>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</si>
  <si>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</si>
  <si>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</si>
  <si>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</si>
  <si>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</si>
  <si>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</si>
  <si>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</si>
  <si>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</si>
  <si>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</si>
  <si>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</si>
  <si>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</si>
  <si>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</si>
  <si>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</si>
  <si>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</si>
  <si>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</si>
  <si>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</si>
  <si>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</si>
  <si>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</si>
  <si>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</si>
  <si>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</si>
  <si>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</si>
  <si>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</si>
  <si>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</si>
  <si>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</si>
  <si>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</si>
  <si>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</si>
  <si>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</si>
  <si>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</si>
  <si>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</si>
  <si>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</si>
  <si>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</si>
  <si>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</si>
  <si>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</si>
  <si>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</si>
  <si>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</si>
  <si>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InjuryHx.InjCause1</t>
  </si>
  <si>
    <t>InjuryHx.InjCause3</t>
  </si>
  <si>
    <t>InjuryHx.InjCause88</t>
  </si>
  <si>
    <t>arr_statusComa</t>
  </si>
  <si>
    <t>arr_statusDrowsy</t>
  </si>
  <si>
    <t>arr_statusSemicoma</t>
  </si>
  <si>
    <t>arr_statusStupor</t>
  </si>
  <si>
    <t>Upper_Lower_Extremities_imputedBoth Bilateral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</si>
  <si>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</si>
  <si>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</si>
  <si>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</si>
  <si>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</si>
  <si>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</si>
  <si>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</si>
  <si>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</si>
  <si>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</si>
  <si>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</si>
  <si>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</si>
  <si>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</si>
  <si>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</si>
  <si>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</si>
  <si>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</si>
  <si>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</si>
  <si>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</si>
  <si>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</si>
  <si>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</si>
  <si>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</si>
  <si>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0.108</t>
  </si>
  <si>
    <t>InjuryHx.InjCause</t>
  </si>
  <si>
    <t>0.00447</t>
  </si>
  <si>
    <t>0.171</t>
  </si>
  <si>
    <t>0.019</t>
  </si>
  <si>
    <t>1.23e-14</t>
  </si>
  <si>
    <t>arr_status</t>
  </si>
  <si>
    <t>2.88e-07</t>
  </si>
  <si>
    <t>1.64e-08</t>
  </si>
  <si>
    <t>Upper_Lower_Extremities_imputed</t>
  </si>
  <si>
    <t>1.15e-08</t>
  </si>
  <si>
    <t>0.00324</t>
  </si>
  <si>
    <t>arr_pp_size</t>
  </si>
  <si>
    <t>0.00147</t>
  </si>
  <si>
    <t>1.52e-08</t>
  </si>
  <si>
    <t>arr_pp_prompt</t>
  </si>
  <si>
    <t>4.83e-09</t>
  </si>
  <si>
    <t>8.68e-08</t>
  </si>
  <si>
    <t>head_neck_AIS</t>
  </si>
  <si>
    <t>JSON</t>
  </si>
  <si>
    <t>{"formula":"GOSE_6_Unfav ~ Age + InjuryHx.InjCause + arr_status + Upper_Lower_Extremities_imputed + arr_pp_size + arr_pp_prompt + head_neck_AIS","penalty":"lasso","alpha":1,"lambda":0.025,"x_names":["Age","InjuryHx.InjCause1","InjuryHx.InjCause3","InjuryHx.InjCause88","arr_statusComa","arr_statusDrowsy","arr_statusSemicoma","arr_statusStupor","Upper_Lower_Extremities_imputedBoth Bilateral","arr_pp_sizebilaterally mydriatic","arr_pp_promptbilateral absence","head_neck_AIS4","head_neck_AIS5"],"train_test":false,"test_prop":{},"split_seed":{},"standardize":true,"threshold":0.5,"family":"binomial","link":"logit"}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</si>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</sst>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2722</v>
      </c>
      <c r="C2">
        <v>1037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0.88139999999999996</v>
      </c>
    </row>
    <row r="3" spans="1:2" x14ac:dyDescent="0.3">
      <c r="A3" t="s">
        <v>30</v>
      </c>
      <c r="B3">
        <v>0.80710000000000004</v>
      </c>
    </row>
    <row r="4" spans="1:2" x14ac:dyDescent="0.3">
      <c r="A4" t="s">
        <v>31</v>
      </c>
      <c r="B4">
        <v>0.623</v>
      </c>
    </row>
    <row r="5" spans="1:2" x14ac:dyDescent="0.3">
      <c r="A5" t="s">
        <v>32</v>
      </c>
      <c r="B5">
        <v>0.82820000000000005</v>
      </c>
    </row>
    <row r="6" spans="1:2" x14ac:dyDescent="0.3">
      <c r="A6" t="s">
        <v>33</v>
      </c>
      <c r="B6">
        <v>0.71109999999999995</v>
      </c>
    </row>
    <row r="7" spans="1:2" x14ac:dyDescent="0.3">
      <c r="A7" t="s">
        <v>34</v>
      </c>
      <c r="B7">
        <v>0.35449999999999998</v>
      </c>
    </row>
    <row r="8" spans="1:2" x14ac:dyDescent="0.3">
      <c r="A8" t="s">
        <v>35</v>
      </c>
      <c r="B8">
        <v>2355.3040000000001</v>
      </c>
    </row>
    <row r="9" spans="1:2" x14ac:dyDescent="0.3">
      <c r="A9" t="s">
        <v>36</v>
      </c>
      <c r="B9">
        <v>0.1356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-2.1364336278570799E-9</v>
      </c>
      <c r="C2">
        <v>4.7779672319050101E-2</v>
      </c>
      <c r="D2">
        <v>-4.4714279612279002E-8</v>
      </c>
      <c r="E2">
        <v>0.99999996432316696</v>
      </c>
      <c r="F2">
        <v>-9.36481598817719E-2</v>
      </c>
      <c r="G2">
        <v>9.3648155608904604E-2</v>
      </c>
    </row>
    <row r="3" spans="1:7" x14ac:dyDescent="0.3">
      <c r="A3" t="s">
        <v>45</v>
      </c>
      <c r="B3">
        <v>1.37296738379818</v>
      </c>
      <c r="C3">
        <v>5.23530658405231E-2</v>
      </c>
      <c r="D3">
        <v>26.225157242567001</v>
      </c>
      <c r="E3">
        <v>1.37293885289869E-151</v>
      </c>
      <c r="F3">
        <v>1.2703553747507601</v>
      </c>
      <c r="G3">
        <v>1.47557939284561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-3.1764871919923801</v>
      </c>
    </row>
    <row r="3" spans="1:3" x14ac:dyDescent="0.3">
      <c r="A3" t="s">
        <v>49</v>
      </c>
      <c r="B3" t="s">
        <v>51</v>
      </c>
      <c r="C3">
        <v>2.54506834111955E-2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0.71643005339919796</v>
      </c>
    </row>
    <row r="8" spans="1:3" x14ac:dyDescent="0.3">
      <c r="A8" t="s">
        <v>49</v>
      </c>
      <c r="B8" t="s">
        <v>56</v>
      </c>
      <c r="C8">
        <v>0</v>
      </c>
    </row>
    <row r="9" spans="1:3" x14ac:dyDescent="0.3">
      <c r="A9" t="s">
        <v>49</v>
      </c>
      <c r="B9" t="s">
        <v>57</v>
      </c>
      <c r="C9">
        <v>0.55262559709068104</v>
      </c>
    </row>
    <row r="10" spans="1:3" x14ac:dyDescent="0.3">
      <c r="A10" t="s">
        <v>49</v>
      </c>
      <c r="B10" t="s">
        <v>58</v>
      </c>
      <c r="C10">
        <v>0.34810530480990298</v>
      </c>
    </row>
    <row r="11" spans="1:3" x14ac:dyDescent="0.3">
      <c r="A11" t="s">
        <v>49</v>
      </c>
      <c r="B11" t="s">
        <v>59</v>
      </c>
      <c r="C11">
        <v>1.22840111010171</v>
      </c>
    </row>
    <row r="12" spans="1:3" x14ac:dyDescent="0.3">
      <c r="A12" t="s">
        <v>49</v>
      </c>
      <c r="B12" t="s">
        <v>60</v>
      </c>
      <c r="C12">
        <v>0.11034532084801001</v>
      </c>
    </row>
    <row r="13" spans="1:3" x14ac:dyDescent="0.3">
      <c r="A13" t="s">
        <v>49</v>
      </c>
      <c r="B13" t="s">
        <v>61</v>
      </c>
      <c r="C13">
        <v>1.0654650990095</v>
      </c>
    </row>
    <row r="14" spans="1:3" x14ac:dyDescent="0.3">
      <c r="A14" t="s">
        <v>49</v>
      </c>
      <c r="B14" t="s">
        <v>62</v>
      </c>
      <c r="C14">
        <v>0.23149728989118601</v>
      </c>
    </row>
    <row r="15" spans="1:3" x14ac:dyDescent="0.3">
      <c r="A15" t="s">
        <v>49</v>
      </c>
      <c r="B15" t="s">
        <v>63</v>
      </c>
      <c r="C15">
        <v>1.0990780668950599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4"/>
  <sheetViews>
    <sheetView tabSelected="1" topLeftCell="B1" workbookViewId="0">
      <pane ySplit="1" topLeftCell="A2" activePane="bottomLeft" state="frozen"/>
      <selection pane="bottomLeft" activeCell="R10" sqref="R10"/>
    </sheetView>
  </sheetViews>
  <sheetFormatPr defaultColWidth="11.5546875" defaultRowHeight="14.4" x14ac:dyDescent="0.3"/>
  <sheetData>
    <row r="1" spans="1:18" x14ac:dyDescent="0.3">
      <c r="A1" t="s">
        <v>64</v>
      </c>
      <c r="B1" t="s">
        <v>65</v>
      </c>
      <c r="C1" t="s">
        <v>66</v>
      </c>
      <c r="D1" t="s">
        <v>67</v>
      </c>
      <c r="E1" t="s">
        <v>41</v>
      </c>
      <c r="F1" t="s">
        <v>68</v>
      </c>
      <c r="G1" t="s">
        <v>69</v>
      </c>
      <c r="H1" t="s">
        <v>42</v>
      </c>
      <c r="I1" t="s">
        <v>43</v>
      </c>
      <c r="J1" t="s">
        <v>100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 spans="1:18" x14ac:dyDescent="0.3">
      <c r="A2" t="s">
        <v>51</v>
      </c>
      <c r="B2">
        <v>4.73731241824948E-2</v>
      </c>
      <c r="C2">
        <v>3.5597572101730298E-3</v>
      </c>
      <c r="D2">
        <v>13.3079649497197</v>
      </c>
      <c r="E2">
        <v>2.0807225160533101E-40</v>
      </c>
      <c r="F2" t="s">
        <v>78</v>
      </c>
      <c r="G2">
        <v>1.0485131617171599</v>
      </c>
      <c r="H2">
        <v>1.0412230169302701</v>
      </c>
      <c r="I2">
        <v>1.05585434860565</v>
      </c>
      <c r="J2" t="str">
        <f>_xlfn.CONCAT(ROUND(G2,2), " (", ROUND(H2,2), "-", ROUND(I2,2),")")</f>
        <v>1.05 (1.04-1.06)</v>
      </c>
      <c r="K2" t="s">
        <v>51</v>
      </c>
      <c r="L2">
        <v>1.11010482329709</v>
      </c>
      <c r="M2">
        <v>1.11010482329709</v>
      </c>
      <c r="N2">
        <v>1.11010482329709</v>
      </c>
      <c r="O2">
        <v>206.746014931221</v>
      </c>
      <c r="P2">
        <v>1</v>
      </c>
      <c r="Q2">
        <v>7.04399378905815E-47</v>
      </c>
      <c r="R2" t="s">
        <v>78</v>
      </c>
    </row>
    <row r="3" spans="1:18" x14ac:dyDescent="0.3">
      <c r="A3" t="s">
        <v>52</v>
      </c>
      <c r="B3">
        <v>0.19222097436160901</v>
      </c>
      <c r="C3">
        <v>0.119551641302948</v>
      </c>
      <c r="D3">
        <v>1.6078488949768099</v>
      </c>
      <c r="E3">
        <v>0.107868276792749</v>
      </c>
      <c r="F3" t="s">
        <v>79</v>
      </c>
      <c r="G3">
        <v>1.21193829466878</v>
      </c>
      <c r="H3">
        <v>0.95877366579760503</v>
      </c>
      <c r="I3">
        <v>1.53195116061389</v>
      </c>
      <c r="J3" t="str">
        <f t="shared" ref="J3:J14" si="0">_xlfn.CONCAT(ROUND(G3,2), " (", ROUND(H3,2), "-", ROUND(I3,2),")")</f>
        <v>1.21 (0.96-1.53)</v>
      </c>
      <c r="K3" t="s">
        <v>80</v>
      </c>
      <c r="L3">
        <v>1.13465156279468</v>
      </c>
      <c r="M3">
        <v>1.21229041063568</v>
      </c>
      <c r="N3">
        <v>1.21229041063568</v>
      </c>
      <c r="O3">
        <v>13.0771810988394</v>
      </c>
      <c r="P3">
        <v>3</v>
      </c>
      <c r="Q3">
        <v>4.4726351954113104E-3</v>
      </c>
      <c r="R3" t="s">
        <v>81</v>
      </c>
    </row>
    <row r="4" spans="1:18" x14ac:dyDescent="0.3">
      <c r="A4" t="s">
        <v>53</v>
      </c>
      <c r="B4">
        <v>-0.38230810233946499</v>
      </c>
      <c r="C4">
        <v>0.279434258827082</v>
      </c>
      <c r="D4">
        <v>-1.3681504334657999</v>
      </c>
      <c r="E4">
        <v>0.171264992982987</v>
      </c>
      <c r="F4" t="s">
        <v>82</v>
      </c>
      <c r="G4">
        <v>0.68228480727311902</v>
      </c>
      <c r="H4">
        <v>0.39455400642881899</v>
      </c>
      <c r="I4">
        <v>1.1798449658366299</v>
      </c>
      <c r="J4" t="str">
        <f t="shared" si="0"/>
        <v>0.68 (0.39-1.18)</v>
      </c>
      <c r="K4" t="s">
        <v>80</v>
      </c>
      <c r="L4">
        <v>1.13465156279468</v>
      </c>
      <c r="M4">
        <v>1.21229041063568</v>
      </c>
      <c r="N4">
        <v>1.1169392565179901</v>
      </c>
      <c r="O4">
        <v>13.0771810988394</v>
      </c>
      <c r="P4">
        <v>3</v>
      </c>
      <c r="Q4">
        <v>4.4726351954113104E-3</v>
      </c>
      <c r="R4" t="s">
        <v>81</v>
      </c>
    </row>
    <row r="5" spans="1:18" x14ac:dyDescent="0.3">
      <c r="A5" t="s">
        <v>54</v>
      </c>
      <c r="B5">
        <v>-0.54236906079684699</v>
      </c>
      <c r="C5">
        <v>0.23115600042978199</v>
      </c>
      <c r="D5">
        <v>-2.3463334708527301</v>
      </c>
      <c r="E5">
        <v>1.8959136318395398E-2</v>
      </c>
      <c r="F5" t="s">
        <v>83</v>
      </c>
      <c r="G5">
        <v>0.58136932036667199</v>
      </c>
      <c r="H5">
        <v>0.36956271573655902</v>
      </c>
      <c r="I5">
        <v>0.91456814302809897</v>
      </c>
      <c r="J5" t="str">
        <f t="shared" si="0"/>
        <v>0.58 (0.37-0.91)</v>
      </c>
      <c r="K5" t="s">
        <v>80</v>
      </c>
      <c r="L5">
        <v>1.13465156279468</v>
      </c>
      <c r="M5">
        <v>1.21229041063568</v>
      </c>
      <c r="N5">
        <v>1.0747250212303701</v>
      </c>
      <c r="O5">
        <v>13.0771810988394</v>
      </c>
      <c r="P5">
        <v>3</v>
      </c>
      <c r="Q5">
        <v>4.4726351954113104E-3</v>
      </c>
      <c r="R5" t="s">
        <v>81</v>
      </c>
    </row>
    <row r="6" spans="1:18" x14ac:dyDescent="0.3">
      <c r="A6" t="s">
        <v>55</v>
      </c>
      <c r="B6">
        <v>2.5167083746992001</v>
      </c>
      <c r="C6">
        <v>0.32630141104353899</v>
      </c>
      <c r="D6">
        <v>7.7128332563765296</v>
      </c>
      <c r="E6">
        <v>1.23054818686784E-14</v>
      </c>
      <c r="F6" t="s">
        <v>84</v>
      </c>
      <c r="G6">
        <v>12.387753637192899</v>
      </c>
      <c r="H6">
        <v>6.5349036877338396</v>
      </c>
      <c r="I6">
        <v>23.4825863560663</v>
      </c>
      <c r="J6" t="str">
        <f t="shared" si="0"/>
        <v>12.39 (6.53-23.48)</v>
      </c>
      <c r="K6" t="s">
        <v>85</v>
      </c>
      <c r="L6">
        <v>2.07188039168078</v>
      </c>
      <c r="M6">
        <v>2.6306180918587598</v>
      </c>
      <c r="N6">
        <v>2.6306180918587598</v>
      </c>
      <c r="O6">
        <v>118.52897371501599</v>
      </c>
      <c r="P6">
        <v>4</v>
      </c>
      <c r="Q6">
        <v>1.1010875394150699E-24</v>
      </c>
      <c r="R6" t="s">
        <v>78</v>
      </c>
    </row>
    <row r="7" spans="1:18" x14ac:dyDescent="0.3">
      <c r="A7" t="s">
        <v>56</v>
      </c>
      <c r="B7">
        <v>0.85785143078935999</v>
      </c>
      <c r="C7">
        <v>0.167176618433934</v>
      </c>
      <c r="D7">
        <v>5.1314079613852996</v>
      </c>
      <c r="E7">
        <v>2.8758283894836102E-7</v>
      </c>
      <c r="F7" t="s">
        <v>86</v>
      </c>
      <c r="G7">
        <v>2.3580887300831099</v>
      </c>
      <c r="H7">
        <v>1.69924707969566</v>
      </c>
      <c r="I7">
        <v>3.27238017671973</v>
      </c>
      <c r="J7" t="str">
        <f t="shared" si="0"/>
        <v>2.36 (1.7-3.27)</v>
      </c>
      <c r="K7" t="s">
        <v>85</v>
      </c>
      <c r="L7">
        <v>2.07188039168078</v>
      </c>
      <c r="M7">
        <v>2.6306180918587598</v>
      </c>
      <c r="N7">
        <v>1.5390901261576799</v>
      </c>
      <c r="O7">
        <v>118.52897371501599</v>
      </c>
      <c r="P7">
        <v>4</v>
      </c>
      <c r="Q7">
        <v>1.1010875394150699E-24</v>
      </c>
      <c r="R7" t="s">
        <v>78</v>
      </c>
    </row>
    <row r="8" spans="1:18" x14ac:dyDescent="0.3">
      <c r="A8" t="s">
        <v>57</v>
      </c>
      <c r="B8">
        <v>1.9377858513235</v>
      </c>
      <c r="C8">
        <v>0.20870146105455101</v>
      </c>
      <c r="D8">
        <v>9.2849654311571701</v>
      </c>
      <c r="E8">
        <v>1.6175967675977001E-20</v>
      </c>
      <c r="F8" t="s">
        <v>78</v>
      </c>
      <c r="G8">
        <v>6.9433603062827904</v>
      </c>
      <c r="H8">
        <v>4.6123200158740003</v>
      </c>
      <c r="I8">
        <v>10.4524950950802</v>
      </c>
      <c r="J8" t="str">
        <f t="shared" si="0"/>
        <v>6.94 (4.61-10.45)</v>
      </c>
      <c r="K8" t="s">
        <v>85</v>
      </c>
      <c r="L8">
        <v>2.07188039168078</v>
      </c>
      <c r="M8">
        <v>2.6306180918587598</v>
      </c>
      <c r="N8">
        <v>2.52975423191858</v>
      </c>
      <c r="O8">
        <v>118.52897371501599</v>
      </c>
      <c r="P8">
        <v>4</v>
      </c>
      <c r="Q8">
        <v>1.1010875394150699E-24</v>
      </c>
      <c r="R8" t="s">
        <v>78</v>
      </c>
    </row>
    <row r="9" spans="1:18" x14ac:dyDescent="0.3">
      <c r="A9" t="s">
        <v>58</v>
      </c>
      <c r="B9">
        <v>1.5850008270264</v>
      </c>
      <c r="C9">
        <v>0.18298744085980601</v>
      </c>
      <c r="D9">
        <v>8.6618011573850993</v>
      </c>
      <c r="E9">
        <v>4.6436784810437101E-18</v>
      </c>
      <c r="F9" t="s">
        <v>78</v>
      </c>
      <c r="G9">
        <v>4.8792954138172</v>
      </c>
      <c r="H9">
        <v>3.40874927653898</v>
      </c>
      <c r="I9">
        <v>6.9842402018696097</v>
      </c>
      <c r="J9" t="str">
        <f t="shared" si="0"/>
        <v>4.88 (3.41-6.98)</v>
      </c>
      <c r="K9" t="s">
        <v>85</v>
      </c>
      <c r="L9">
        <v>2.07188039168078</v>
      </c>
      <c r="M9">
        <v>2.6306180918587598</v>
      </c>
      <c r="N9">
        <v>1.58805911678811</v>
      </c>
      <c r="O9">
        <v>118.52897371501599</v>
      </c>
      <c r="P9">
        <v>4</v>
      </c>
      <c r="Q9">
        <v>1.1010875394150699E-24</v>
      </c>
      <c r="R9" t="s">
        <v>78</v>
      </c>
    </row>
    <row r="10" spans="1:18" x14ac:dyDescent="0.3">
      <c r="A10" t="s">
        <v>59</v>
      </c>
      <c r="B10">
        <v>0.96273450177642705</v>
      </c>
      <c r="C10">
        <v>0.17049982657195401</v>
      </c>
      <c r="D10">
        <v>5.6465424108225601</v>
      </c>
      <c r="E10">
        <v>1.6370679485378799E-8</v>
      </c>
      <c r="F10" t="s">
        <v>87</v>
      </c>
      <c r="G10">
        <v>2.6188479354557401</v>
      </c>
      <c r="H10">
        <v>1.8748990944771999</v>
      </c>
      <c r="I10">
        <v>3.6579912642996</v>
      </c>
      <c r="J10" t="str">
        <f t="shared" si="0"/>
        <v>2.62 (1.87-3.66)</v>
      </c>
      <c r="K10" t="s">
        <v>88</v>
      </c>
      <c r="L10">
        <v>2.4962230076001402</v>
      </c>
      <c r="M10">
        <v>2.4962230076001402</v>
      </c>
      <c r="N10">
        <v>2.4962230076001402</v>
      </c>
      <c r="O10">
        <v>32.5738302757632</v>
      </c>
      <c r="P10">
        <v>1</v>
      </c>
      <c r="Q10">
        <v>1.14749479952067E-8</v>
      </c>
      <c r="R10" t="s">
        <v>89</v>
      </c>
    </row>
    <row r="11" spans="1:18" x14ac:dyDescent="0.3">
      <c r="A11" t="s">
        <v>60</v>
      </c>
      <c r="B11">
        <v>1.2102654950021801</v>
      </c>
      <c r="C11">
        <v>0.41108823094390501</v>
      </c>
      <c r="D11">
        <v>2.9440528915733499</v>
      </c>
      <c r="E11">
        <v>3.2394463293701002E-3</v>
      </c>
      <c r="F11" t="s">
        <v>90</v>
      </c>
      <c r="G11">
        <v>3.3543751041641499</v>
      </c>
      <c r="H11">
        <v>1.49860183339443</v>
      </c>
      <c r="I11">
        <v>7.5082200546559603</v>
      </c>
      <c r="J11" t="str">
        <f t="shared" si="0"/>
        <v>3.35 (1.5-7.51)</v>
      </c>
      <c r="K11" t="s">
        <v>91</v>
      </c>
      <c r="L11">
        <v>1.4195672757717901</v>
      </c>
      <c r="M11">
        <v>1.4195672757717901</v>
      </c>
      <c r="N11">
        <v>1.4195672757717901</v>
      </c>
      <c r="O11">
        <v>10.117315516505199</v>
      </c>
      <c r="P11">
        <v>1</v>
      </c>
      <c r="Q11">
        <v>1.4688278148119599E-3</v>
      </c>
      <c r="R11" t="s">
        <v>92</v>
      </c>
    </row>
    <row r="12" spans="1:18" x14ac:dyDescent="0.3">
      <c r="A12" t="s">
        <v>61</v>
      </c>
      <c r="B12">
        <v>1.0943755301475799</v>
      </c>
      <c r="C12">
        <v>0.19338610687639299</v>
      </c>
      <c r="D12">
        <v>5.6590183639565597</v>
      </c>
      <c r="E12">
        <v>1.5224126620285399E-8</v>
      </c>
      <c r="F12" t="s">
        <v>93</v>
      </c>
      <c r="G12">
        <v>2.9873166116376102</v>
      </c>
      <c r="H12">
        <v>2.0448792896157699</v>
      </c>
      <c r="I12">
        <v>4.36410138411782</v>
      </c>
      <c r="J12" t="str">
        <f t="shared" si="0"/>
        <v>2.99 (2.04-4.36)</v>
      </c>
      <c r="K12" t="s">
        <v>94</v>
      </c>
      <c r="L12">
        <v>1.93787496235912</v>
      </c>
      <c r="M12">
        <v>1.93787496235912</v>
      </c>
      <c r="N12">
        <v>1.93787496235912</v>
      </c>
      <c r="O12">
        <v>34.255679664622697</v>
      </c>
      <c r="P12">
        <v>1</v>
      </c>
      <c r="Q12">
        <v>4.8326298705813898E-9</v>
      </c>
      <c r="R12" t="s">
        <v>95</v>
      </c>
    </row>
    <row r="13" spans="1:18" x14ac:dyDescent="0.3">
      <c r="A13" t="s">
        <v>62</v>
      </c>
      <c r="B13">
        <v>0.79519214257585302</v>
      </c>
      <c r="C13">
        <v>0.14856625765693299</v>
      </c>
      <c r="D13">
        <v>5.3524410934015796</v>
      </c>
      <c r="E13">
        <v>8.67755562609454E-8</v>
      </c>
      <c r="F13" t="s">
        <v>96</v>
      </c>
      <c r="G13">
        <v>2.21486652608111</v>
      </c>
      <c r="H13">
        <v>1.6553331332869701</v>
      </c>
      <c r="I13">
        <v>2.9635326144977001</v>
      </c>
      <c r="J13" t="str">
        <f t="shared" si="0"/>
        <v>2.21 (1.66-2.96)</v>
      </c>
      <c r="K13" t="s">
        <v>97</v>
      </c>
      <c r="L13">
        <v>1.57861007644917</v>
      </c>
      <c r="M13">
        <v>1.79189245864838</v>
      </c>
      <c r="N13">
        <v>1.3653276942499599</v>
      </c>
      <c r="O13">
        <v>134.67083280873501</v>
      </c>
      <c r="P13">
        <v>2</v>
      </c>
      <c r="Q13">
        <v>5.7095281552936497E-30</v>
      </c>
      <c r="R13" t="s">
        <v>78</v>
      </c>
    </row>
    <row r="14" spans="1:18" x14ac:dyDescent="0.3">
      <c r="A14" t="s">
        <v>63</v>
      </c>
      <c r="B14">
        <v>1.5886843030781801</v>
      </c>
      <c r="C14">
        <v>0.141624607820657</v>
      </c>
      <c r="D14">
        <v>11.2175724792825</v>
      </c>
      <c r="E14">
        <v>3.3432176202830599E-29</v>
      </c>
      <c r="F14" t="s">
        <v>78</v>
      </c>
      <c r="G14">
        <v>4.89730132343331</v>
      </c>
      <c r="H14">
        <v>3.7102530125606199</v>
      </c>
      <c r="I14">
        <v>6.4641306593669396</v>
      </c>
      <c r="J14" t="str">
        <f t="shared" si="0"/>
        <v>4.9 (3.71-6.46)</v>
      </c>
      <c r="K14" t="s">
        <v>97</v>
      </c>
      <c r="L14">
        <v>1.57861007644917</v>
      </c>
      <c r="M14">
        <v>1.79189245864838</v>
      </c>
      <c r="N14">
        <v>1.79189245864838</v>
      </c>
      <c r="O14">
        <v>134.67083280873501</v>
      </c>
      <c r="P14">
        <v>2</v>
      </c>
      <c r="Q14">
        <v>5.7095281552936497E-30</v>
      </c>
      <c r="R14" t="s">
        <v>78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98</v>
      </c>
    </row>
    <row r="2" spans="1:1" x14ac:dyDescent="0.3">
      <c r="A2" t="s">
        <v>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2025-10-13T00:23:03Z</dcterms:created>
  <dcterms:modified xsi:type="dcterms:W3CDTF">2025-10-15T01:52:23Z</dcterms:modified>
</cp:coreProperties>
</file>