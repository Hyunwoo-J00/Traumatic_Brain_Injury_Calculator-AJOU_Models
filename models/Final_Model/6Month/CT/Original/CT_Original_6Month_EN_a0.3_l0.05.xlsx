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6Month\CT\Original\"/>
    </mc:Choice>
  </mc:AlternateContent>
  <xr:revisionPtr revIDLastSave="0" documentId="13_ncr:1_{42BEB956-6A21-437E-AFC6-439D4F602D1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" i="6"/>
</calcChain>
</file>

<file path=xl/sharedStrings.xml><?xml version="1.0" encoding="utf-8"?>
<sst xmlns="http://schemas.openxmlformats.org/spreadsheetml/2006/main" count="188" uniqueCount="129">
  <si>
    <t>Item</t>
  </si>
  <si>
    <t>Value</t>
  </si>
  <si>
    <t>Formula</t>
  </si>
  <si>
    <t>GOSE_6_Unfav ~ Age + InjuryHx.InjCause + arr_status + Upper_Lower_Extremities_imputed + arr_pp_size + arr_pp_prompt + head_neck_AIS + EDH + contusion + SAH + IVH + MidlineShift + basal_cistern_compression</t>
  </si>
  <si>
    <t>N_total</t>
  </si>
  <si>
    <t>2722</t>
  </si>
  <si>
    <t>Pos_Level</t>
  </si>
  <si>
    <t>1</t>
  </si>
  <si>
    <t>Penalty</t>
  </si>
  <si>
    <t>elasticnet</t>
  </si>
  <si>
    <t>Alpha</t>
  </si>
  <si>
    <t>0.3</t>
  </si>
  <si>
    <t>Lambda_Chosen</t>
  </si>
  <si>
    <t>0.05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</si>
  <si>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</si>
  <si>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</si>
  <si>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</si>
  <si>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</si>
  <si>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</si>
  <si>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</si>
  <si>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</si>
  <si>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</si>
  <si>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</si>
  <si>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</si>
  <si>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</si>
  <si>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</si>
  <si>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</si>
  <si>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</si>
  <si>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</si>
  <si>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</si>
  <si>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</si>
  <si>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</si>
  <si>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</si>
  <si>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</si>
  <si>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</si>
  <si>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</si>
  <si>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</si>
  <si>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</si>
  <si>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</si>
  <si>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</si>
  <si>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</si>
  <si>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</si>
  <si>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</si>
  <si>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</si>
  <si>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</si>
  <si>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</si>
  <si>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</si>
  <si>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</si>
  <si>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</si>
  <si>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</si>
  <si>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lambda=0.05</t>
  </si>
  <si>
    <t>(Intercept)</t>
  </si>
  <si>
    <t>Age</t>
  </si>
  <si>
    <t>InjuryHx.InjCause1</t>
  </si>
  <si>
    <t>InjuryHx.InjCause3</t>
  </si>
  <si>
    <t>InjuryHx.InjCause88</t>
  </si>
  <si>
    <t>arr_statusComa</t>
  </si>
  <si>
    <t>arr_statusDrowsy</t>
  </si>
  <si>
    <t>arr_statusSemicoma</t>
  </si>
  <si>
    <t>arr_statusStupor</t>
  </si>
  <si>
    <t>Upper_Lower_Extremities_imputedBoth Bilateral</t>
  </si>
  <si>
    <t>arr_pp_sizebilaterally mydriatic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</si>
  <si>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</si>
  <si>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</si>
  <si>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</si>
  <si>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</si>
  <si>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</si>
  <si>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</si>
  <si>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</si>
  <si>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</si>
  <si>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</si>
  <si>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</si>
  <si>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</si>
  <si>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</si>
  <si>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</si>
  <si>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</si>
  <si>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</si>
  <si>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</si>
  <si>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</si>
  <si>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</si>
  <si>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</si>
  <si>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</si>
  <si>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</si>
  <si>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</si>
  <si>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</si>
  <si>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</si>
  <si>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0.246</t>
  </si>
  <si>
    <t>InjuryHx.InjCause</t>
  </si>
  <si>
    <t>0.0756</t>
  </si>
  <si>
    <t>0.508</t>
  </si>
  <si>
    <t>0.0588</t>
  </si>
  <si>
    <t>1.4e-10</t>
  </si>
  <si>
    <t>arr_status</t>
  </si>
  <si>
    <t>6.97e-15</t>
  </si>
  <si>
    <t>0.000225</t>
  </si>
  <si>
    <t>8.62e-14</t>
  </si>
  <si>
    <t>7.46e-11</t>
  </si>
  <si>
    <t>1.09e-05</t>
  </si>
  <si>
    <t>Upper_Lower_Extremities_imputed</t>
  </si>
  <si>
    <t>9.74e-06</t>
  </si>
  <si>
    <t>0.00388</t>
  </si>
  <si>
    <t>arr_pp_size</t>
  </si>
  <si>
    <t>0.00185</t>
  </si>
  <si>
    <t>9.38e-09</t>
  </si>
  <si>
    <t>arr_pp_prompt</t>
  </si>
  <si>
    <t>3.2e-09</t>
  </si>
  <si>
    <t>2.74e-05</t>
  </si>
  <si>
    <t>head_neck_AIS</t>
  </si>
  <si>
    <t>9.42e-09</t>
  </si>
  <si>
    <t>EDH</t>
  </si>
  <si>
    <t>5.24e-09</t>
  </si>
  <si>
    <t>0.000169</t>
  </si>
  <si>
    <t>contusion</t>
  </si>
  <si>
    <t>0.000152</t>
  </si>
  <si>
    <t>0.0749</t>
  </si>
  <si>
    <t>SAH</t>
  </si>
  <si>
    <t>0.0742</t>
  </si>
  <si>
    <t>0.00122</t>
  </si>
  <si>
    <t>IVH</t>
  </si>
  <si>
    <t>0.00118</t>
  </si>
  <si>
    <t>0.0909</t>
  </si>
  <si>
    <t>MidlineShift</t>
  </si>
  <si>
    <t>0.0911</t>
  </si>
  <si>
    <t>0.000391</t>
  </si>
  <si>
    <t>basal_cistern_compression</t>
  </si>
  <si>
    <t>0.000392</t>
  </si>
  <si>
    <t>JSON</t>
  </si>
  <si>
    <t>{"formula":"GOSE_6_Unfav ~ Age + InjuryHx.InjCause + arr_status + Upper_Lower_Extremities_imputed + arr_pp_size + arr_pp_prompt + head_neck_AIS + EDH + contusion + SAH + IVH + MidlineShift + basal_cistern_compression","penalty":"elasticnet","alpha":0.3,"lambda":0.05,"x_names":["Age","InjuryHx.InjCause1","InjuryHx.InjCause3","InjuryHx.InjCause88","arr_statusComa","arr_statusDrowsy","arr_statusSemicoma","arr_statusStupor","Upper_Lower_Extremities_imputedBoth Bilateral","arr_pp_sizebilaterally mydriatic","arr_pp_promptbilateral absence","head_neck_AIS4","head_neck_AIS5","EDHpresent","contusionpresent","SAHpresent","IVHpresent","MidlineShiftpresent","basal_cistern_compressionpresent"],"train_test":false,"test_prop":{},"split_seed":{},"standardize":true,"threshold":0.5,"family":"binomial","link":"logit"}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</si>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</sst>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15</v>
      </c>
    </row>
    <row r="14" spans="1:2" x14ac:dyDescent="0.3">
      <c r="A14" t="s">
        <v>23</v>
      </c>
    </row>
    <row r="15" spans="1:2" x14ac:dyDescent="0.3">
      <c r="A15" t="s">
        <v>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>
        <v>2722</v>
      </c>
      <c r="C2">
        <v>1037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29</v>
      </c>
      <c r="B1" t="s">
        <v>1</v>
      </c>
    </row>
    <row r="2" spans="1:2" x14ac:dyDescent="0.3">
      <c r="A2" t="s">
        <v>30</v>
      </c>
      <c r="B2">
        <v>0.8952</v>
      </c>
    </row>
    <row r="3" spans="1:2" x14ac:dyDescent="0.3">
      <c r="A3" t="s">
        <v>31</v>
      </c>
      <c r="B3">
        <v>0.81850000000000001</v>
      </c>
    </row>
    <row r="4" spans="1:2" x14ac:dyDescent="0.3">
      <c r="A4" t="s">
        <v>32</v>
      </c>
      <c r="B4">
        <v>0.65569999999999995</v>
      </c>
    </row>
    <row r="5" spans="1:2" x14ac:dyDescent="0.3">
      <c r="A5" t="s">
        <v>33</v>
      </c>
      <c r="B5">
        <v>0.83230000000000004</v>
      </c>
    </row>
    <row r="6" spans="1:2" x14ac:dyDescent="0.3">
      <c r="A6" t="s">
        <v>34</v>
      </c>
      <c r="B6">
        <v>0.73350000000000004</v>
      </c>
    </row>
    <row r="7" spans="1:2" x14ac:dyDescent="0.3">
      <c r="A7" t="s">
        <v>35</v>
      </c>
      <c r="B7">
        <v>0.38579999999999998</v>
      </c>
    </row>
    <row r="8" spans="1:2" x14ac:dyDescent="0.3">
      <c r="A8" t="s">
        <v>36</v>
      </c>
      <c r="B8">
        <v>2254</v>
      </c>
    </row>
    <row r="9" spans="1:2" x14ac:dyDescent="0.3">
      <c r="A9" t="s">
        <v>37</v>
      </c>
      <c r="B9">
        <v>0.12759999999999999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45</v>
      </c>
      <c r="B2">
        <v>-1.02349557047493E-7</v>
      </c>
      <c r="C2">
        <v>4.82541967586054E-2</v>
      </c>
      <c r="D2">
        <v>-2.12104985519712E-6</v>
      </c>
      <c r="E2">
        <v>0.99999830764706799</v>
      </c>
      <c r="F2">
        <v>-9.45783279964236E-2</v>
      </c>
      <c r="G2">
        <v>9.4578123297309497E-2</v>
      </c>
    </row>
    <row r="3" spans="1:7" x14ac:dyDescent="0.3">
      <c r="A3" t="s">
        <v>46</v>
      </c>
      <c r="B3">
        <v>1.44915411292115</v>
      </c>
      <c r="C3">
        <v>5.4075781797727998E-2</v>
      </c>
      <c r="D3">
        <v>26.798579044899501</v>
      </c>
      <c r="E3">
        <v>3.35683120919463E-158</v>
      </c>
      <c r="F3">
        <v>1.3431655805976099</v>
      </c>
      <c r="G3">
        <v>1.5551426452446999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>
        <v>-3.24105473849853</v>
      </c>
    </row>
    <row r="3" spans="1:3" x14ac:dyDescent="0.3">
      <c r="A3" t="s">
        <v>50</v>
      </c>
      <c r="B3" t="s">
        <v>52</v>
      </c>
      <c r="C3">
        <v>2.1104715989403399E-2</v>
      </c>
    </row>
    <row r="4" spans="1:3" x14ac:dyDescent="0.3">
      <c r="A4" t="s">
        <v>50</v>
      </c>
      <c r="B4" t="s">
        <v>53</v>
      </c>
      <c r="C4">
        <v>0</v>
      </c>
    </row>
    <row r="5" spans="1:3" x14ac:dyDescent="0.3">
      <c r="A5" t="s">
        <v>50</v>
      </c>
      <c r="B5" t="s">
        <v>54</v>
      </c>
      <c r="C5">
        <v>0</v>
      </c>
    </row>
    <row r="6" spans="1:3" x14ac:dyDescent="0.3">
      <c r="A6" t="s">
        <v>50</v>
      </c>
      <c r="B6" t="s">
        <v>55</v>
      </c>
      <c r="C6">
        <v>0</v>
      </c>
    </row>
    <row r="7" spans="1:3" x14ac:dyDescent="0.3">
      <c r="A7" t="s">
        <v>50</v>
      </c>
      <c r="B7" t="s">
        <v>56</v>
      </c>
      <c r="C7">
        <v>0.75719016521998495</v>
      </c>
    </row>
    <row r="8" spans="1:3" x14ac:dyDescent="0.3">
      <c r="A8" t="s">
        <v>50</v>
      </c>
      <c r="B8" t="s">
        <v>57</v>
      </c>
      <c r="C8">
        <v>0</v>
      </c>
    </row>
    <row r="9" spans="1:3" x14ac:dyDescent="0.3">
      <c r="A9" t="s">
        <v>50</v>
      </c>
      <c r="B9" t="s">
        <v>58</v>
      </c>
      <c r="C9">
        <v>0.56394670313447004</v>
      </c>
    </row>
    <row r="10" spans="1:3" x14ac:dyDescent="0.3">
      <c r="A10" t="s">
        <v>50</v>
      </c>
      <c r="B10" t="s">
        <v>59</v>
      </c>
      <c r="C10">
        <v>0.312165653638598</v>
      </c>
    </row>
    <row r="11" spans="1:3" x14ac:dyDescent="0.3">
      <c r="A11" t="s">
        <v>50</v>
      </c>
      <c r="B11" t="s">
        <v>60</v>
      </c>
      <c r="C11">
        <v>0.88548605695509397</v>
      </c>
    </row>
    <row r="12" spans="1:3" x14ac:dyDescent="0.3">
      <c r="A12" t="s">
        <v>50</v>
      </c>
      <c r="B12" t="s">
        <v>61</v>
      </c>
      <c r="C12">
        <v>0.455930308468256</v>
      </c>
    </row>
    <row r="13" spans="1:3" x14ac:dyDescent="0.3">
      <c r="A13" t="s">
        <v>50</v>
      </c>
      <c r="B13" t="s">
        <v>62</v>
      </c>
      <c r="C13">
        <v>0.93319652259980401</v>
      </c>
    </row>
    <row r="14" spans="1:3" x14ac:dyDescent="0.3">
      <c r="A14" t="s">
        <v>50</v>
      </c>
      <c r="B14" t="s">
        <v>63</v>
      </c>
      <c r="C14">
        <v>0.13099466975594401</v>
      </c>
    </row>
    <row r="15" spans="1:3" x14ac:dyDescent="0.3">
      <c r="A15" t="s">
        <v>50</v>
      </c>
      <c r="B15" t="s">
        <v>64</v>
      </c>
      <c r="C15">
        <v>0.90835842348921403</v>
      </c>
    </row>
    <row r="16" spans="1:3" x14ac:dyDescent="0.3">
      <c r="A16" t="s">
        <v>50</v>
      </c>
      <c r="B16" t="s">
        <v>65</v>
      </c>
      <c r="C16">
        <v>-0.35105294104060802</v>
      </c>
    </row>
    <row r="17" spans="1:3" x14ac:dyDescent="0.3">
      <c r="A17" t="s">
        <v>50</v>
      </c>
      <c r="B17" t="s">
        <v>66</v>
      </c>
      <c r="C17">
        <v>0.307972723620342</v>
      </c>
    </row>
    <row r="18" spans="1:3" x14ac:dyDescent="0.3">
      <c r="A18" t="s">
        <v>50</v>
      </c>
      <c r="B18" t="s">
        <v>67</v>
      </c>
      <c r="C18">
        <v>0.22107621751238199</v>
      </c>
    </row>
    <row r="19" spans="1:3" x14ac:dyDescent="0.3">
      <c r="A19" t="s">
        <v>50</v>
      </c>
      <c r="B19" t="s">
        <v>68</v>
      </c>
      <c r="C19">
        <v>0.42248731970001102</v>
      </c>
    </row>
    <row r="20" spans="1:3" x14ac:dyDescent="0.3">
      <c r="A20" t="s">
        <v>50</v>
      </c>
      <c r="B20" t="s">
        <v>69</v>
      </c>
      <c r="C20">
        <v>0.310452135634459</v>
      </c>
    </row>
    <row r="21" spans="1:3" x14ac:dyDescent="0.3">
      <c r="A21" t="s">
        <v>50</v>
      </c>
      <c r="B21" t="s">
        <v>70</v>
      </c>
      <c r="C21">
        <v>0.45697457193193503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tabSelected="1" workbookViewId="0">
      <pane ySplit="1" topLeftCell="A3" activePane="bottomLeft" state="frozen"/>
      <selection pane="bottomLeft" activeCell="K5" sqref="K5"/>
    </sheetView>
  </sheetViews>
  <sheetFormatPr defaultColWidth="11.5546875" defaultRowHeight="14.4" x14ac:dyDescent="0.3"/>
  <sheetData>
    <row r="1" spans="1:18" x14ac:dyDescent="0.3">
      <c r="A1" t="s">
        <v>71</v>
      </c>
      <c r="B1" t="s">
        <v>72</v>
      </c>
      <c r="C1" t="s">
        <v>73</v>
      </c>
      <c r="D1" t="s">
        <v>74</v>
      </c>
      <c r="E1" t="s">
        <v>42</v>
      </c>
      <c r="F1" t="s">
        <v>75</v>
      </c>
      <c r="G1" t="s">
        <v>76</v>
      </c>
      <c r="H1" t="s">
        <v>43</v>
      </c>
      <c r="I1" t="s">
        <v>44</v>
      </c>
      <c r="J1" t="s">
        <v>128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x14ac:dyDescent="0.3">
      <c r="A2" t="s">
        <v>52</v>
      </c>
      <c r="B2">
        <v>4.1682422970715997E-2</v>
      </c>
      <c r="C2">
        <v>3.75366432464741E-3</v>
      </c>
      <c r="D2">
        <v>11.104462031146401</v>
      </c>
      <c r="E2">
        <v>1.19333777145927E-28</v>
      </c>
      <c r="F2" t="s">
        <v>85</v>
      </c>
      <c r="G2">
        <v>1.0425633320054299</v>
      </c>
      <c r="H2">
        <v>1.03492115067691</v>
      </c>
      <c r="I2">
        <v>1.0502619455900799</v>
      </c>
      <c r="J2" t="str">
        <f>_xlfn.CONCAT(ROUND(G2,2), " (",ROUND(H2,2), "-",ROUND(I2,2),")")</f>
        <v>1.04 (1.03-1.05)</v>
      </c>
      <c r="K2" t="s">
        <v>52</v>
      </c>
      <c r="L2">
        <v>1.20226912378059</v>
      </c>
      <c r="M2">
        <v>1.20226912378059</v>
      </c>
      <c r="N2">
        <v>1.20226912378059</v>
      </c>
      <c r="O2">
        <v>137.12059670078801</v>
      </c>
      <c r="P2">
        <v>1</v>
      </c>
      <c r="Q2">
        <v>1.1347965009557501E-31</v>
      </c>
      <c r="R2" t="s">
        <v>85</v>
      </c>
    </row>
    <row r="3" spans="1:18" x14ac:dyDescent="0.3">
      <c r="A3" t="s">
        <v>53</v>
      </c>
      <c r="B3">
        <v>0.14368299249883301</v>
      </c>
      <c r="C3">
        <v>0.123788733836753</v>
      </c>
      <c r="D3">
        <v>1.16071138338256</v>
      </c>
      <c r="E3">
        <v>0.24575929099256899</v>
      </c>
      <c r="F3" t="s">
        <v>86</v>
      </c>
      <c r="G3">
        <v>1.15451805962272</v>
      </c>
      <c r="H3">
        <v>0.90579440402004996</v>
      </c>
      <c r="I3">
        <v>1.4715391749820399</v>
      </c>
      <c r="J3" t="str">
        <f t="shared" ref="J3:J20" si="0">_xlfn.CONCAT(ROUND(G3,2), " (",ROUND(H3,2), "-",ROUND(I3,2),")")</f>
        <v>1.15 (0.91-1.47)</v>
      </c>
      <c r="K3" t="s">
        <v>87</v>
      </c>
      <c r="L3">
        <v>1.14673413808617</v>
      </c>
      <c r="M3">
        <v>1.22811362624951</v>
      </c>
      <c r="N3">
        <v>1.22811362624951</v>
      </c>
      <c r="O3">
        <v>6.8862091837277104</v>
      </c>
      <c r="P3">
        <v>3</v>
      </c>
      <c r="Q3">
        <v>7.561448196343E-2</v>
      </c>
      <c r="R3" t="s">
        <v>88</v>
      </c>
    </row>
    <row r="4" spans="1:18" x14ac:dyDescent="0.3">
      <c r="A4" t="s">
        <v>54</v>
      </c>
      <c r="B4">
        <v>-0.191476824590427</v>
      </c>
      <c r="C4">
        <v>0.289140326363932</v>
      </c>
      <c r="D4">
        <v>-0.66222801571241596</v>
      </c>
      <c r="E4">
        <v>0.50782510205476705</v>
      </c>
      <c r="F4" t="s">
        <v>89</v>
      </c>
      <c r="G4">
        <v>0.82573876171873595</v>
      </c>
      <c r="H4">
        <v>0.46851279633395798</v>
      </c>
      <c r="I4">
        <v>1.4553380568046801</v>
      </c>
      <c r="J4" t="str">
        <f t="shared" si="0"/>
        <v>0.83 (0.47-1.46)</v>
      </c>
      <c r="K4" t="s">
        <v>87</v>
      </c>
      <c r="L4">
        <v>1.14673413808617</v>
      </c>
      <c r="M4">
        <v>1.22811362624951</v>
      </c>
      <c r="N4">
        <v>1.13053647216475</v>
      </c>
      <c r="O4">
        <v>6.8862091837277104</v>
      </c>
      <c r="P4">
        <v>3</v>
      </c>
      <c r="Q4">
        <v>7.561448196343E-2</v>
      </c>
      <c r="R4" t="s">
        <v>88</v>
      </c>
    </row>
    <row r="5" spans="1:18" x14ac:dyDescent="0.3">
      <c r="A5" t="s">
        <v>55</v>
      </c>
      <c r="B5">
        <v>-0.44533305730649603</v>
      </c>
      <c r="C5">
        <v>0.23570333962339399</v>
      </c>
      <c r="D5">
        <v>-1.8893794972020701</v>
      </c>
      <c r="E5">
        <v>5.8840996153948798E-2</v>
      </c>
      <c r="F5" t="s">
        <v>90</v>
      </c>
      <c r="G5">
        <v>0.64061088036347202</v>
      </c>
      <c r="H5">
        <v>0.40360782488470998</v>
      </c>
      <c r="I5">
        <v>1.0167847963732799</v>
      </c>
      <c r="J5" t="str">
        <f t="shared" si="0"/>
        <v>0.64 (0.4-1.02)</v>
      </c>
      <c r="K5" t="s">
        <v>87</v>
      </c>
      <c r="L5">
        <v>1.14673413808617</v>
      </c>
      <c r="M5">
        <v>1.22811362624951</v>
      </c>
      <c r="N5">
        <v>1.0815523158442499</v>
      </c>
      <c r="O5">
        <v>6.8862091837277104</v>
      </c>
      <c r="P5">
        <v>3</v>
      </c>
      <c r="Q5">
        <v>7.561448196343E-2</v>
      </c>
      <c r="R5" t="s">
        <v>88</v>
      </c>
    </row>
    <row r="6" spans="1:18" x14ac:dyDescent="0.3">
      <c r="A6" t="s">
        <v>56</v>
      </c>
      <c r="B6">
        <v>2.15629255968947</v>
      </c>
      <c r="C6">
        <v>0.336059075435376</v>
      </c>
      <c r="D6">
        <v>6.4164092485701101</v>
      </c>
      <c r="E6">
        <v>1.3952605925728201E-10</v>
      </c>
      <c r="F6" t="s">
        <v>91</v>
      </c>
      <c r="G6">
        <v>8.6390494524791599</v>
      </c>
      <c r="H6">
        <v>4.4710209001152101</v>
      </c>
      <c r="I6">
        <v>16.692647408661699</v>
      </c>
      <c r="J6" t="str">
        <f t="shared" si="0"/>
        <v>8.64 (4.47-16.69)</v>
      </c>
      <c r="K6" t="s">
        <v>92</v>
      </c>
      <c r="L6">
        <v>2.18578459754014</v>
      </c>
      <c r="M6">
        <v>2.7335413236649</v>
      </c>
      <c r="N6">
        <v>2.7335413236649</v>
      </c>
      <c r="O6">
        <v>72.428322750779898</v>
      </c>
      <c r="P6">
        <v>4</v>
      </c>
      <c r="Q6">
        <v>6.9678338217504504E-15</v>
      </c>
      <c r="R6" t="s">
        <v>93</v>
      </c>
    </row>
    <row r="7" spans="1:18" x14ac:dyDescent="0.3">
      <c r="A7" t="s">
        <v>57</v>
      </c>
      <c r="B7">
        <v>0.64225044480357796</v>
      </c>
      <c r="C7">
        <v>0.17409186604305801</v>
      </c>
      <c r="D7">
        <v>3.6891467671713598</v>
      </c>
      <c r="E7">
        <v>2.2500739516040499E-4</v>
      </c>
      <c r="F7" t="s">
        <v>94</v>
      </c>
      <c r="G7">
        <v>1.90075361081481</v>
      </c>
      <c r="H7">
        <v>1.3512504018454601</v>
      </c>
      <c r="I7">
        <v>2.6737193077547201</v>
      </c>
      <c r="J7" t="str">
        <f t="shared" si="0"/>
        <v>1.9 (1.35-2.67)</v>
      </c>
      <c r="K7" t="s">
        <v>92</v>
      </c>
      <c r="L7">
        <v>2.18578459754014</v>
      </c>
      <c r="M7">
        <v>2.7335413236649</v>
      </c>
      <c r="N7">
        <v>1.5995913306887499</v>
      </c>
      <c r="O7">
        <v>72.428322750779898</v>
      </c>
      <c r="P7">
        <v>4</v>
      </c>
      <c r="Q7">
        <v>6.9678338217504504E-15</v>
      </c>
      <c r="R7" t="s">
        <v>93</v>
      </c>
    </row>
    <row r="8" spans="1:18" x14ac:dyDescent="0.3">
      <c r="A8" t="s">
        <v>58</v>
      </c>
      <c r="B8">
        <v>1.63087237444858</v>
      </c>
      <c r="C8">
        <v>0.21860164695204701</v>
      </c>
      <c r="D8">
        <v>7.4604761546299603</v>
      </c>
      <c r="E8">
        <v>8.62103572667467E-14</v>
      </c>
      <c r="F8" t="s">
        <v>95</v>
      </c>
      <c r="G8">
        <v>5.1083291511140301</v>
      </c>
      <c r="H8">
        <v>3.3281385257698299</v>
      </c>
      <c r="I8">
        <v>7.8407273357365304</v>
      </c>
      <c r="J8" t="str">
        <f t="shared" si="0"/>
        <v>5.11 (3.33-7.84)</v>
      </c>
      <c r="K8" t="s">
        <v>92</v>
      </c>
      <c r="L8">
        <v>2.18578459754014</v>
      </c>
      <c r="M8">
        <v>2.7335413236649</v>
      </c>
      <c r="N8">
        <v>2.6862497184306502</v>
      </c>
      <c r="O8">
        <v>72.428322750779898</v>
      </c>
      <c r="P8">
        <v>4</v>
      </c>
      <c r="Q8">
        <v>6.9678338217504504E-15</v>
      </c>
      <c r="R8" t="s">
        <v>93</v>
      </c>
    </row>
    <row r="9" spans="1:18" x14ac:dyDescent="0.3">
      <c r="A9" t="s">
        <v>59</v>
      </c>
      <c r="B9">
        <v>1.25099633643594</v>
      </c>
      <c r="C9">
        <v>0.19213023684966299</v>
      </c>
      <c r="D9">
        <v>6.5111892690519504</v>
      </c>
      <c r="E9">
        <v>7.4558127907816101E-11</v>
      </c>
      <c r="F9" t="s">
        <v>96</v>
      </c>
      <c r="G9">
        <v>3.4938222463075799</v>
      </c>
      <c r="H9">
        <v>2.3974869203189302</v>
      </c>
      <c r="I9">
        <v>5.0914955094603496</v>
      </c>
      <c r="J9" t="str">
        <f t="shared" si="0"/>
        <v>3.49 (2.4-5.09)</v>
      </c>
      <c r="K9" t="s">
        <v>92</v>
      </c>
      <c r="L9">
        <v>2.18578459754014</v>
      </c>
      <c r="M9">
        <v>2.7335413236649</v>
      </c>
      <c r="N9">
        <v>1.72375601737627</v>
      </c>
      <c r="O9">
        <v>72.428322750779898</v>
      </c>
      <c r="P9">
        <v>4</v>
      </c>
      <c r="Q9">
        <v>6.9678338217504504E-15</v>
      </c>
      <c r="R9" t="s">
        <v>93</v>
      </c>
    </row>
    <row r="10" spans="1:18" x14ac:dyDescent="0.3">
      <c r="A10" t="s">
        <v>60</v>
      </c>
      <c r="B10">
        <v>0.77432050677956099</v>
      </c>
      <c r="C10">
        <v>0.176074731201114</v>
      </c>
      <c r="D10">
        <v>4.3976810385990399</v>
      </c>
      <c r="E10">
        <v>1.09413611524659E-5</v>
      </c>
      <c r="F10" t="s">
        <v>97</v>
      </c>
      <c r="G10">
        <v>2.16911772552838</v>
      </c>
      <c r="H10">
        <v>1.53604976551641</v>
      </c>
      <c r="I10">
        <v>3.06309848341377</v>
      </c>
      <c r="J10" t="str">
        <f t="shared" si="0"/>
        <v>2.17 (1.54-3.06)</v>
      </c>
      <c r="K10" t="s">
        <v>98</v>
      </c>
      <c r="L10">
        <v>2.57007814096159</v>
      </c>
      <c r="M10">
        <v>2.57007814096159</v>
      </c>
      <c r="N10">
        <v>2.57007814096159</v>
      </c>
      <c r="O10">
        <v>19.5617327687178</v>
      </c>
      <c r="P10">
        <v>1</v>
      </c>
      <c r="Q10">
        <v>9.7400710393677104E-6</v>
      </c>
      <c r="R10" t="s">
        <v>99</v>
      </c>
    </row>
    <row r="11" spans="1:18" x14ac:dyDescent="0.3">
      <c r="A11" t="s">
        <v>61</v>
      </c>
      <c r="B11">
        <v>1.2153364628400301</v>
      </c>
      <c r="C11">
        <v>0.42089386346160501</v>
      </c>
      <c r="D11">
        <v>2.8875129060913398</v>
      </c>
      <c r="E11">
        <v>3.88300675518282E-3</v>
      </c>
      <c r="F11" t="s">
        <v>100</v>
      </c>
      <c r="G11">
        <v>3.3714282338264798</v>
      </c>
      <c r="H11">
        <v>1.4775487880877101</v>
      </c>
      <c r="I11">
        <v>7.6928277614123601</v>
      </c>
      <c r="J11" t="str">
        <f t="shared" si="0"/>
        <v>3.37 (1.48-7.69)</v>
      </c>
      <c r="K11" t="s">
        <v>101</v>
      </c>
      <c r="L11">
        <v>1.4276646083909199</v>
      </c>
      <c r="M11">
        <v>1.4276646083909199</v>
      </c>
      <c r="N11">
        <v>1.4276646083909199</v>
      </c>
      <c r="O11">
        <v>9.6972916535350997</v>
      </c>
      <c r="P11">
        <v>1</v>
      </c>
      <c r="Q11">
        <v>1.84539796196954E-3</v>
      </c>
      <c r="R11" t="s">
        <v>102</v>
      </c>
    </row>
    <row r="12" spans="1:18" x14ac:dyDescent="0.3">
      <c r="A12" t="s">
        <v>62</v>
      </c>
      <c r="B12">
        <v>1.1326176231288001</v>
      </c>
      <c r="C12">
        <v>0.19726707251805101</v>
      </c>
      <c r="D12">
        <v>5.7415442357981901</v>
      </c>
      <c r="E12">
        <v>9.3817043485904794E-9</v>
      </c>
      <c r="F12" t="s">
        <v>103</v>
      </c>
      <c r="G12">
        <v>3.1037703770812501</v>
      </c>
      <c r="H12">
        <v>2.1084944478817902</v>
      </c>
      <c r="I12">
        <v>4.5688479584686004</v>
      </c>
      <c r="J12" t="str">
        <f t="shared" si="0"/>
        <v>3.1 (2.11-4.57)</v>
      </c>
      <c r="K12" t="s">
        <v>104</v>
      </c>
      <c r="L12">
        <v>1.9558722895804499</v>
      </c>
      <c r="M12">
        <v>1.9558722895804499</v>
      </c>
      <c r="N12">
        <v>1.9558722895804499</v>
      </c>
      <c r="O12">
        <v>35.056873869348699</v>
      </c>
      <c r="P12">
        <v>1</v>
      </c>
      <c r="Q12">
        <v>3.2021459879297198E-9</v>
      </c>
      <c r="R12" t="s">
        <v>105</v>
      </c>
    </row>
    <row r="13" spans="1:18" x14ac:dyDescent="0.3">
      <c r="A13" t="s">
        <v>63</v>
      </c>
      <c r="B13">
        <v>0.65935142581672801</v>
      </c>
      <c r="C13">
        <v>0.157209234425569</v>
      </c>
      <c r="D13">
        <v>4.1941011176980103</v>
      </c>
      <c r="E13">
        <v>2.7395576275018201E-5</v>
      </c>
      <c r="F13" t="s">
        <v>106</v>
      </c>
      <c r="G13">
        <v>1.9335378848897</v>
      </c>
      <c r="H13">
        <v>1.42080175197087</v>
      </c>
      <c r="I13">
        <v>2.6313092217952199</v>
      </c>
      <c r="J13" t="str">
        <f t="shared" si="0"/>
        <v>1.93 (1.42-2.63)</v>
      </c>
      <c r="K13" t="s">
        <v>107</v>
      </c>
      <c r="L13">
        <v>1.89003050992791</v>
      </c>
      <c r="M13">
        <v>2.3073402657468098</v>
      </c>
      <c r="N13">
        <v>1.4727207541090099</v>
      </c>
      <c r="O13">
        <v>102.362557984245</v>
      </c>
      <c r="P13">
        <v>2</v>
      </c>
      <c r="Q13">
        <v>5.9190629254137597E-23</v>
      </c>
      <c r="R13" t="s">
        <v>85</v>
      </c>
    </row>
    <row r="14" spans="1:18" x14ac:dyDescent="0.3">
      <c r="A14" t="s">
        <v>64</v>
      </c>
      <c r="B14">
        <v>1.5972971379206999</v>
      </c>
      <c r="C14">
        <v>0.16364369100885301</v>
      </c>
      <c r="D14">
        <v>9.7608232133696706</v>
      </c>
      <c r="E14">
        <v>1.6580382157841001E-22</v>
      </c>
      <c r="F14" t="s">
        <v>85</v>
      </c>
      <c r="G14">
        <v>4.93966313668715</v>
      </c>
      <c r="H14">
        <v>3.5842724245686699</v>
      </c>
      <c r="I14">
        <v>6.8075941261307102</v>
      </c>
      <c r="J14" t="str">
        <f t="shared" si="0"/>
        <v>4.94 (3.58-6.81)</v>
      </c>
      <c r="K14" t="s">
        <v>107</v>
      </c>
      <c r="L14">
        <v>1.89003050992791</v>
      </c>
      <c r="M14">
        <v>2.3073402657468098</v>
      </c>
      <c r="N14">
        <v>2.3073402657468098</v>
      </c>
      <c r="O14">
        <v>102.362557984245</v>
      </c>
      <c r="P14">
        <v>2</v>
      </c>
      <c r="Q14">
        <v>5.9190629254137597E-23</v>
      </c>
      <c r="R14" t="s">
        <v>85</v>
      </c>
    </row>
    <row r="15" spans="1:18" x14ac:dyDescent="0.3">
      <c r="A15" t="s">
        <v>65</v>
      </c>
      <c r="B15">
        <v>-0.76068909007094199</v>
      </c>
      <c r="C15">
        <v>0.13250421952781699</v>
      </c>
      <c r="D15">
        <v>-5.7408669156475201</v>
      </c>
      <c r="E15">
        <v>9.4193095788042604E-9</v>
      </c>
      <c r="F15" t="s">
        <v>108</v>
      </c>
      <c r="G15">
        <v>0.46734427372760501</v>
      </c>
      <c r="H15">
        <v>0.36045168250742099</v>
      </c>
      <c r="I15">
        <v>0.60593605408260598</v>
      </c>
      <c r="J15" t="str">
        <f t="shared" si="0"/>
        <v>0.47 (0.36-0.61)</v>
      </c>
      <c r="K15" t="s">
        <v>109</v>
      </c>
      <c r="L15">
        <v>1.1460375019695599</v>
      </c>
      <c r="M15">
        <v>1.1460375019695599</v>
      </c>
      <c r="N15">
        <v>1.1460375019695599</v>
      </c>
      <c r="O15">
        <v>34.099525389844501</v>
      </c>
      <c r="P15">
        <v>1</v>
      </c>
      <c r="Q15">
        <v>5.2364036367949302E-9</v>
      </c>
      <c r="R15" t="s">
        <v>110</v>
      </c>
    </row>
    <row r="16" spans="1:18" x14ac:dyDescent="0.3">
      <c r="A16" t="s">
        <v>66</v>
      </c>
      <c r="B16">
        <v>0.52518721319836303</v>
      </c>
      <c r="C16">
        <v>0.13961415031944699</v>
      </c>
      <c r="D16">
        <v>3.7617047555473402</v>
      </c>
      <c r="E16">
        <v>1.6875918645377599E-4</v>
      </c>
      <c r="F16" t="s">
        <v>111</v>
      </c>
      <c r="G16">
        <v>1.69077535421291</v>
      </c>
      <c r="H16">
        <v>1.2860088126754701</v>
      </c>
      <c r="I16">
        <v>2.2229406752403098</v>
      </c>
      <c r="J16" t="str">
        <f t="shared" si="0"/>
        <v>1.69 (1.29-2.22)</v>
      </c>
      <c r="K16" t="s">
        <v>112</v>
      </c>
      <c r="L16">
        <v>1.2385762196836301</v>
      </c>
      <c r="M16">
        <v>1.2385762196836301</v>
      </c>
      <c r="N16">
        <v>1.2385762196836301</v>
      </c>
      <c r="O16">
        <v>14.3427866118459</v>
      </c>
      <c r="P16">
        <v>1</v>
      </c>
      <c r="Q16">
        <v>1.5236233272124001E-4</v>
      </c>
      <c r="R16" t="s">
        <v>113</v>
      </c>
    </row>
    <row r="17" spans="1:18" x14ac:dyDescent="0.3">
      <c r="A17" t="s">
        <v>67</v>
      </c>
      <c r="B17">
        <v>0.25049515409848599</v>
      </c>
      <c r="C17">
        <v>0.14064329732219299</v>
      </c>
      <c r="D17">
        <v>1.7810671313019499</v>
      </c>
      <c r="E17">
        <v>7.4901484528556994E-2</v>
      </c>
      <c r="F17" t="s">
        <v>114</v>
      </c>
      <c r="G17">
        <v>1.2846613645684799</v>
      </c>
      <c r="H17">
        <v>0.975148308126493</v>
      </c>
      <c r="I17">
        <v>1.6924141772708401</v>
      </c>
      <c r="J17" t="str">
        <f t="shared" si="0"/>
        <v>1.28 (0.98-1.69)</v>
      </c>
      <c r="K17" t="s">
        <v>115</v>
      </c>
      <c r="L17">
        <v>1.2764926691618399</v>
      </c>
      <c r="M17">
        <v>1.2764926691618399</v>
      </c>
      <c r="N17">
        <v>1.2764926691618399</v>
      </c>
      <c r="O17">
        <v>3.1876824870268998</v>
      </c>
      <c r="P17">
        <v>1</v>
      </c>
      <c r="Q17">
        <v>7.4195127443912101E-2</v>
      </c>
      <c r="R17" t="s">
        <v>116</v>
      </c>
    </row>
    <row r="18" spans="1:18" x14ac:dyDescent="0.3">
      <c r="A18" t="s">
        <v>68</v>
      </c>
      <c r="B18">
        <v>0.50640838022228596</v>
      </c>
      <c r="C18">
        <v>0.15652428720259501</v>
      </c>
      <c r="D18">
        <v>3.2353342045047899</v>
      </c>
      <c r="E18">
        <v>1.2150042488378199E-3</v>
      </c>
      <c r="F18" t="s">
        <v>117</v>
      </c>
      <c r="G18">
        <v>1.6593208302125</v>
      </c>
      <c r="H18">
        <v>1.22093966232856</v>
      </c>
      <c r="I18">
        <v>2.2551037553534501</v>
      </c>
      <c r="J18" t="str">
        <f t="shared" si="0"/>
        <v>1.66 (1.22-2.26)</v>
      </c>
      <c r="K18" t="s">
        <v>118</v>
      </c>
      <c r="L18">
        <v>1.1405672408463901</v>
      </c>
      <c r="M18">
        <v>1.1405672408463901</v>
      </c>
      <c r="N18">
        <v>1.1405672408463901</v>
      </c>
      <c r="O18">
        <v>10.5187049598303</v>
      </c>
      <c r="P18">
        <v>1</v>
      </c>
      <c r="Q18">
        <v>1.1817226926075701E-3</v>
      </c>
      <c r="R18" t="s">
        <v>119</v>
      </c>
    </row>
    <row r="19" spans="1:18" x14ac:dyDescent="0.3">
      <c r="A19" t="s">
        <v>69</v>
      </c>
      <c r="B19">
        <v>0.248765766361424</v>
      </c>
      <c r="C19">
        <v>0.14712264234252201</v>
      </c>
      <c r="D19">
        <v>1.69087342641837</v>
      </c>
      <c r="E19">
        <v>9.0860979584085899E-2</v>
      </c>
      <c r="F19" t="s">
        <v>120</v>
      </c>
      <c r="G19">
        <v>1.2824416069223801</v>
      </c>
      <c r="H19">
        <v>0.96117901001448103</v>
      </c>
      <c r="I19">
        <v>1.71108238739096</v>
      </c>
      <c r="J19" t="str">
        <f t="shared" si="0"/>
        <v>1.28 (0.96-1.71)</v>
      </c>
      <c r="K19" t="s">
        <v>121</v>
      </c>
      <c r="L19">
        <v>1.4674490692618101</v>
      </c>
      <c r="M19">
        <v>1.4674490692618101</v>
      </c>
      <c r="N19">
        <v>1.4674490692618101</v>
      </c>
      <c r="O19">
        <v>2.85445312874708</v>
      </c>
      <c r="P19">
        <v>1</v>
      </c>
      <c r="Q19">
        <v>9.1121222118545203E-2</v>
      </c>
      <c r="R19" t="s">
        <v>122</v>
      </c>
    </row>
    <row r="20" spans="1:18" x14ac:dyDescent="0.3">
      <c r="A20" t="s">
        <v>70</v>
      </c>
      <c r="B20">
        <v>0.48863496717766403</v>
      </c>
      <c r="C20">
        <v>0.137789797034955</v>
      </c>
      <c r="D20">
        <v>3.5462347553477098</v>
      </c>
      <c r="E20">
        <v>3.90777917792044E-4</v>
      </c>
      <c r="F20" t="s">
        <v>123</v>
      </c>
      <c r="G20">
        <v>1.63008957480631</v>
      </c>
      <c r="H20">
        <v>1.24429233786024</v>
      </c>
      <c r="I20">
        <v>2.1355046085565998</v>
      </c>
      <c r="J20" t="str">
        <f t="shared" si="0"/>
        <v>1.63 (1.24-2.14)</v>
      </c>
      <c r="K20" t="s">
        <v>124</v>
      </c>
      <c r="L20">
        <v>1.25004052216219</v>
      </c>
      <c r="M20">
        <v>1.25004052216219</v>
      </c>
      <c r="N20">
        <v>1.25004052216219</v>
      </c>
      <c r="O20">
        <v>12.5676631310434</v>
      </c>
      <c r="P20">
        <v>1</v>
      </c>
      <c r="Q20">
        <v>3.9247904623617E-4</v>
      </c>
      <c r="R20" t="s">
        <v>125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2025-10-13T03:44:49Z</dcterms:created>
  <dcterms:modified xsi:type="dcterms:W3CDTF">2025-10-15T02:26:09Z</dcterms:modified>
</cp:coreProperties>
</file>