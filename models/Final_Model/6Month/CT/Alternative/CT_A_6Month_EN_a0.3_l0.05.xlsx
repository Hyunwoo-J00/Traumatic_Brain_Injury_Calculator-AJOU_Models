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CT\Alternative\"/>
    </mc:Choice>
  </mc:AlternateContent>
  <xr:revisionPtr revIDLastSave="0" documentId="13_ncr:1_{3D115FA5-B567-432A-9938-003F54C47712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</calcChain>
</file>

<file path=xl/sharedStrings.xml><?xml version="1.0" encoding="utf-8"?>
<sst xmlns="http://schemas.openxmlformats.org/spreadsheetml/2006/main" count="164" uniqueCount="115">
  <si>
    <t>Item</t>
  </si>
  <si>
    <t>Value</t>
  </si>
  <si>
    <t>Formula</t>
  </si>
  <si>
    <t>GOSE_6_Unfav ~ Age + InjuryHx.InjCause + arr_GCS_derived + arr_pp_size + arr_pp_prompt + head_neck_AIS + EDH + contusion + SAH + IVH + MidlineShift + basal_cistern_compression</t>
  </si>
  <si>
    <t>N_total</t>
  </si>
  <si>
    <t>2722</t>
  </si>
  <si>
    <t>Pos_Level</t>
  </si>
  <si>
    <t>1</t>
  </si>
  <si>
    <t>Penalty</t>
  </si>
  <si>
    <t>elasticnet</t>
  </si>
  <si>
    <t>Alpha</t>
  </si>
  <si>
    <t>0.3</t>
  </si>
  <si>
    <t>Lambda_Chosen</t>
  </si>
  <si>
    <t>0.05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</si>
  <si>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</si>
  <si>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</si>
  <si>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</si>
  <si>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</si>
  <si>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</si>
  <si>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</si>
  <si>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</si>
  <si>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</si>
  <si>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</si>
  <si>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</si>
  <si>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</si>
  <si>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</si>
  <si>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</si>
  <si>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</si>
  <si>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</si>
  <si>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</si>
  <si>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</si>
  <si>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</si>
  <si>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</si>
  <si>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</si>
  <si>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</si>
  <si>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</si>
  <si>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</si>
  <si>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</si>
  <si>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</si>
  <si>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</si>
  <si>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</si>
  <si>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</si>
  <si>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</si>
  <si>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</si>
  <si>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</si>
  <si>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</si>
  <si>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</si>
  <si>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</si>
  <si>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</si>
  <si>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</si>
  <si>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lambda=0.05</t>
  </si>
  <si>
    <t>(Intercept)</t>
  </si>
  <si>
    <t>Age</t>
  </si>
  <si>
    <t>InjuryHx.InjCause1</t>
  </si>
  <si>
    <t>InjuryHx.InjCause3</t>
  </si>
  <si>
    <t>InjuryHx.InjCause88</t>
  </si>
  <si>
    <t>arr_GCS_derived</t>
  </si>
  <si>
    <t>arr_pp_sizebilaterally mydriatic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</si>
  <si>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</si>
  <si>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</si>
  <si>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</si>
  <si>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</si>
  <si>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</si>
  <si>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</si>
  <si>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</si>
  <si>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</si>
  <si>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</si>
  <si>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</si>
  <si>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</si>
  <si>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</si>
  <si>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</si>
  <si>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</si>
  <si>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</si>
  <si>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</si>
  <si>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</si>
  <si>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</si>
  <si>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</si>
  <si>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</si>
  <si>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</si>
  <si>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</si>
  <si>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</si>
  <si>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</si>
  <si>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0.228</t>
  </si>
  <si>
    <t>InjuryHx.InjCause</t>
  </si>
  <si>
    <t>0.034</t>
  </si>
  <si>
    <t>0.467</t>
  </si>
  <si>
    <t>0.0292</t>
  </si>
  <si>
    <t>0.000877</t>
  </si>
  <si>
    <t>arr_pp_size</t>
  </si>
  <si>
    <t>0.000244</t>
  </si>
  <si>
    <t>9.59e-12</t>
  </si>
  <si>
    <t>arr_pp_prompt</t>
  </si>
  <si>
    <t>9.29e-13</t>
  </si>
  <si>
    <t>5.91e-06</t>
  </si>
  <si>
    <t>head_neck_AIS</t>
  </si>
  <si>
    <t>3.33e-09</t>
  </si>
  <si>
    <t>EDH</t>
  </si>
  <si>
    <t>1.76e-09</t>
  </si>
  <si>
    <t>8.26e-05</t>
  </si>
  <si>
    <t>contusion</t>
  </si>
  <si>
    <t>7.32e-05</t>
  </si>
  <si>
    <t>0.0222</t>
  </si>
  <si>
    <t>SAH</t>
  </si>
  <si>
    <t>0.0218</t>
  </si>
  <si>
    <t>0.000155</t>
  </si>
  <si>
    <t>IVH</t>
  </si>
  <si>
    <t>0.000145</t>
  </si>
  <si>
    <t>0.0136</t>
  </si>
  <si>
    <t>MidlineShift</t>
  </si>
  <si>
    <t>5.18e-05</t>
  </si>
  <si>
    <t>basal_cistern_compression</t>
  </si>
  <si>
    <t>5.08e-05</t>
  </si>
  <si>
    <t>JSON</t>
  </si>
  <si>
    <t>{"formula":"GOSE_6_Unfav ~ Age + InjuryHx.InjCause + arr_GCS_derived + arr_pp_size + arr_pp_prompt + head_neck_AIS + EDH + contusion + SAH + IVH + MidlineShift + basal_cistern_compression","penalty":"elasticnet","alpha":0.3,"lambda":0.05,"x_names":["Age","InjuryHx.InjCause1","InjuryHx.InjCause3","InjuryHx.InjCause88","arr_GCS_derived","arr_pp_sizebilaterally mydriatic","arr_pp_promptbilateral absence","head_neck_AIS4","head_neck_AIS5","EDHpresent","contusionpresent","SAHpresent","IVHpresent","MidlineShiftpresent","basal_cistern_compressionpresent"],"train_test":false,"test_prop":{},"split_seed":{},"standardize":true,"threshold":0.5,"family":"binomial","link":"logit"}</t>
  </si>
  <si>
    <t>OR (95% 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</si>
</sst>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15</v>
      </c>
    </row>
    <row r="14" spans="1:2" x14ac:dyDescent="0.3">
      <c r="A14" t="s">
        <v>23</v>
      </c>
    </row>
    <row r="15" spans="1:2" x14ac:dyDescent="0.3">
      <c r="A15" t="s">
        <v>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29</v>
      </c>
      <c r="B1" t="s">
        <v>1</v>
      </c>
    </row>
    <row r="2" spans="1:2" x14ac:dyDescent="0.3">
      <c r="A2" t="s">
        <v>30</v>
      </c>
      <c r="B2">
        <v>0.89239999999999997</v>
      </c>
    </row>
    <row r="3" spans="1:2" x14ac:dyDescent="0.3">
      <c r="A3" t="s">
        <v>31</v>
      </c>
      <c r="B3">
        <v>0.82220000000000004</v>
      </c>
    </row>
    <row r="4" spans="1:2" x14ac:dyDescent="0.3">
      <c r="A4" t="s">
        <v>32</v>
      </c>
      <c r="B4">
        <v>0.68369999999999997</v>
      </c>
    </row>
    <row r="5" spans="1:2" x14ac:dyDescent="0.3">
      <c r="A5" t="s">
        <v>33</v>
      </c>
      <c r="B5">
        <v>0.81969999999999998</v>
      </c>
    </row>
    <row r="6" spans="1:2" x14ac:dyDescent="0.3">
      <c r="A6" t="s">
        <v>34</v>
      </c>
      <c r="B6">
        <v>0.74550000000000005</v>
      </c>
    </row>
    <row r="7" spans="1:2" x14ac:dyDescent="0.3">
      <c r="A7" t="s">
        <v>35</v>
      </c>
      <c r="B7">
        <v>0.3805</v>
      </c>
    </row>
    <row r="8" spans="1:2" x14ac:dyDescent="0.3">
      <c r="A8" t="s">
        <v>36</v>
      </c>
      <c r="B8">
        <v>2267.049</v>
      </c>
    </row>
    <row r="9" spans="1:2" x14ac:dyDescent="0.3">
      <c r="A9" t="s">
        <v>37</v>
      </c>
      <c r="B9">
        <v>0.12909999999999999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>
        <v>-4.4432011270302498E-8</v>
      </c>
      <c r="C2">
        <v>4.8041570217590999E-2</v>
      </c>
      <c r="D2">
        <v>-9.2486592484508602E-7</v>
      </c>
      <c r="E2">
        <v>0.999999262063758</v>
      </c>
      <c r="F2">
        <v>-9.41615220584896E-2</v>
      </c>
      <c r="G2">
        <v>9.4161433194467098E-2</v>
      </c>
    </row>
    <row r="3" spans="1:7" x14ac:dyDescent="0.3">
      <c r="A3" t="s">
        <v>46</v>
      </c>
      <c r="B3">
        <v>1.4361999420212399</v>
      </c>
      <c r="C3">
        <v>5.3028047388558E-2</v>
      </c>
      <c r="D3">
        <v>27.083779485554601</v>
      </c>
      <c r="E3">
        <v>1.52891655292774E-161</v>
      </c>
      <c r="F3">
        <v>1.33226496913967</v>
      </c>
      <c r="G3">
        <v>1.5401349149028201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 t="s">
        <v>50</v>
      </c>
      <c r="B2" t="s">
        <v>51</v>
      </c>
      <c r="C2">
        <v>-1.46750504864395</v>
      </c>
    </row>
    <row r="3" spans="1:3" x14ac:dyDescent="0.3">
      <c r="A3" t="s">
        <v>50</v>
      </c>
      <c r="B3" t="s">
        <v>52</v>
      </c>
      <c r="C3">
        <v>2.19423841936289E-2</v>
      </c>
    </row>
    <row r="4" spans="1:3" x14ac:dyDescent="0.3">
      <c r="A4" t="s">
        <v>50</v>
      </c>
      <c r="B4" t="s">
        <v>53</v>
      </c>
      <c r="C4">
        <v>0</v>
      </c>
    </row>
    <row r="5" spans="1:3" x14ac:dyDescent="0.3">
      <c r="A5" t="s">
        <v>50</v>
      </c>
      <c r="B5" t="s">
        <v>54</v>
      </c>
      <c r="C5">
        <v>0</v>
      </c>
    </row>
    <row r="6" spans="1:3" x14ac:dyDescent="0.3">
      <c r="A6" t="s">
        <v>50</v>
      </c>
      <c r="B6" t="s">
        <v>55</v>
      </c>
      <c r="C6">
        <v>0</v>
      </c>
    </row>
    <row r="7" spans="1:3" x14ac:dyDescent="0.3">
      <c r="A7" t="s">
        <v>50</v>
      </c>
      <c r="B7" t="s">
        <v>56</v>
      </c>
      <c r="C7">
        <v>-0.13065982334121401</v>
      </c>
    </row>
    <row r="8" spans="1:3" x14ac:dyDescent="0.3">
      <c r="A8" t="s">
        <v>50</v>
      </c>
      <c r="B8" t="s">
        <v>57</v>
      </c>
      <c r="C8">
        <v>0.54389840784179999</v>
      </c>
    </row>
    <row r="9" spans="1:3" x14ac:dyDescent="0.3">
      <c r="A9" t="s">
        <v>50</v>
      </c>
      <c r="B9" t="s">
        <v>58</v>
      </c>
      <c r="C9">
        <v>1.0142787577971699</v>
      </c>
    </row>
    <row r="10" spans="1:3" x14ac:dyDescent="0.3">
      <c r="A10" t="s">
        <v>50</v>
      </c>
      <c r="B10" t="s">
        <v>59</v>
      </c>
      <c r="C10">
        <v>0.10880359292545901</v>
      </c>
    </row>
    <row r="11" spans="1:3" x14ac:dyDescent="0.3">
      <c r="A11" t="s">
        <v>50</v>
      </c>
      <c r="B11" t="s">
        <v>60</v>
      </c>
      <c r="C11">
        <v>0.89011303274717701</v>
      </c>
    </row>
    <row r="12" spans="1:3" x14ac:dyDescent="0.3">
      <c r="A12" t="s">
        <v>50</v>
      </c>
      <c r="B12" t="s">
        <v>61</v>
      </c>
      <c r="C12">
        <v>-0.37070700698765402</v>
      </c>
    </row>
    <row r="13" spans="1:3" x14ac:dyDescent="0.3">
      <c r="A13" t="s">
        <v>50</v>
      </c>
      <c r="B13" t="s">
        <v>62</v>
      </c>
      <c r="C13">
        <v>0.25882528441921299</v>
      </c>
    </row>
    <row r="14" spans="1:3" x14ac:dyDescent="0.3">
      <c r="A14" t="s">
        <v>50</v>
      </c>
      <c r="B14" t="s">
        <v>63</v>
      </c>
      <c r="C14">
        <v>0.21148266207321201</v>
      </c>
    </row>
    <row r="15" spans="1:3" x14ac:dyDescent="0.3">
      <c r="A15" t="s">
        <v>50</v>
      </c>
      <c r="B15" t="s">
        <v>64</v>
      </c>
      <c r="C15">
        <v>0.45093839849864298</v>
      </c>
    </row>
    <row r="16" spans="1:3" x14ac:dyDescent="0.3">
      <c r="A16" t="s">
        <v>50</v>
      </c>
      <c r="B16" t="s">
        <v>65</v>
      </c>
      <c r="C16">
        <v>0.35148039353287402</v>
      </c>
    </row>
    <row r="17" spans="1:3" x14ac:dyDescent="0.3">
      <c r="A17" t="s">
        <v>50</v>
      </c>
      <c r="B17" t="s">
        <v>66</v>
      </c>
      <c r="C17">
        <v>0.480596838651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6"/>
  <sheetViews>
    <sheetView tabSelected="1" workbookViewId="0">
      <pane xSplit="1" topLeftCell="I1" activePane="topRight" state="frozen"/>
      <selection pane="topRight" activeCell="R15" sqref="R15"/>
    </sheetView>
  </sheetViews>
  <sheetFormatPr defaultColWidth="11.5546875" defaultRowHeight="14.4" x14ac:dyDescent="0.3"/>
  <sheetData>
    <row r="1" spans="1:18" x14ac:dyDescent="0.3">
      <c r="A1" t="s">
        <v>67</v>
      </c>
      <c r="B1" t="s">
        <v>68</v>
      </c>
      <c r="C1" t="s">
        <v>69</v>
      </c>
      <c r="D1" t="s">
        <v>70</v>
      </c>
      <c r="E1" t="s">
        <v>42</v>
      </c>
      <c r="F1" t="s">
        <v>71</v>
      </c>
      <c r="G1" t="s">
        <v>72</v>
      </c>
      <c r="H1" t="s">
        <v>43</v>
      </c>
      <c r="I1" t="s">
        <v>44</v>
      </c>
      <c r="J1" t="s">
        <v>114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 x14ac:dyDescent="0.3">
      <c r="A2" t="s">
        <v>52</v>
      </c>
      <c r="B2">
        <v>4.0303229337797002E-2</v>
      </c>
      <c r="C2">
        <v>3.69877554382034E-3</v>
      </c>
      <c r="D2">
        <v>10.896370666539299</v>
      </c>
      <c r="E2">
        <v>1.1994672715708301E-27</v>
      </c>
      <c r="F2" t="s">
        <v>81</v>
      </c>
      <c r="G2">
        <v>1.0411264264093101</v>
      </c>
      <c r="H2">
        <v>1.0336059692905299</v>
      </c>
      <c r="I2">
        <v>1.0487016019381501</v>
      </c>
      <c r="J2" t="str">
        <f>_xlfn.CONCAT(ROUND(G2,3), " (", ROUND(H2,3), "-", ROUND(I2,3), ")")</f>
        <v>1.041 (1.034-1.049)</v>
      </c>
      <c r="K2" t="s">
        <v>52</v>
      </c>
      <c r="L2">
        <v>1.19348524629344</v>
      </c>
      <c r="M2">
        <v>1.19348524629344</v>
      </c>
      <c r="N2">
        <v>1.19348524629344</v>
      </c>
      <c r="O2">
        <v>131.724742409767</v>
      </c>
      <c r="P2">
        <v>1</v>
      </c>
      <c r="Q2">
        <v>1.71872093611732E-30</v>
      </c>
      <c r="R2" t="s">
        <v>81</v>
      </c>
    </row>
    <row r="3" spans="1:18" x14ac:dyDescent="0.3">
      <c r="A3" t="s">
        <v>53</v>
      </c>
      <c r="B3">
        <v>0.14785723182677399</v>
      </c>
      <c r="C3">
        <v>0.12259778304286</v>
      </c>
      <c r="D3">
        <v>1.20603511871893</v>
      </c>
      <c r="E3">
        <v>0.227803949678796</v>
      </c>
      <c r="F3" t="s">
        <v>82</v>
      </c>
      <c r="G3">
        <v>1.1593473666414</v>
      </c>
      <c r="H3">
        <v>0.911708996202239</v>
      </c>
      <c r="I3">
        <v>1.47424926389581</v>
      </c>
      <c r="J3" t="str">
        <f t="shared" ref="J3:J16" si="0">_xlfn.CONCAT(ROUND(G3,2), " (", ROUND(H3,2), "-", ROUND(I3,2), ")")</f>
        <v>1.16 (0.91-1.47)</v>
      </c>
      <c r="K3" t="s">
        <v>83</v>
      </c>
      <c r="L3">
        <v>1.14488443031787</v>
      </c>
      <c r="M3">
        <v>1.22845588042172</v>
      </c>
      <c r="N3">
        <v>1.22845588042172</v>
      </c>
      <c r="O3">
        <v>8.6711364853558699</v>
      </c>
      <c r="P3">
        <v>3</v>
      </c>
      <c r="Q3">
        <v>3.3998446929832199E-2</v>
      </c>
      <c r="R3" t="s">
        <v>84</v>
      </c>
    </row>
    <row r="4" spans="1:18" x14ac:dyDescent="0.3">
      <c r="A4" t="s">
        <v>54</v>
      </c>
      <c r="B4">
        <v>-0.209545376068527</v>
      </c>
      <c r="C4">
        <v>0.28777688464701701</v>
      </c>
      <c r="D4">
        <v>-0.72815221530232599</v>
      </c>
      <c r="E4">
        <v>0.46652041336345601</v>
      </c>
      <c r="F4" t="s">
        <v>85</v>
      </c>
      <c r="G4">
        <v>0.81095284074653495</v>
      </c>
      <c r="H4">
        <v>0.46135472193259902</v>
      </c>
      <c r="I4">
        <v>1.4254639188692499</v>
      </c>
      <c r="J4" t="str">
        <f t="shared" si="0"/>
        <v>0.81 (0.46-1.43)</v>
      </c>
      <c r="K4" t="s">
        <v>83</v>
      </c>
      <c r="L4">
        <v>1.14488443031787</v>
      </c>
      <c r="M4">
        <v>1.22845588042172</v>
      </c>
      <c r="N4">
        <v>1.12587965973592</v>
      </c>
      <c r="O4">
        <v>8.6711364853558699</v>
      </c>
      <c r="P4">
        <v>3</v>
      </c>
      <c r="Q4">
        <v>3.3998446929832199E-2</v>
      </c>
      <c r="R4" t="s">
        <v>84</v>
      </c>
    </row>
    <row r="5" spans="1:18" x14ac:dyDescent="0.3">
      <c r="A5" t="s">
        <v>55</v>
      </c>
      <c r="B5">
        <v>-0.50422394120311498</v>
      </c>
      <c r="C5">
        <v>0.23120652102515299</v>
      </c>
      <c r="D5">
        <v>-2.1808378888598101</v>
      </c>
      <c r="E5">
        <v>2.9195409049757499E-2</v>
      </c>
      <c r="F5" t="s">
        <v>86</v>
      </c>
      <c r="G5">
        <v>0.60397411302066495</v>
      </c>
      <c r="H5">
        <v>0.38389403215311102</v>
      </c>
      <c r="I5">
        <v>0.95022245371506497</v>
      </c>
      <c r="J5" t="str">
        <f t="shared" si="0"/>
        <v>0.6 (0.38-0.95)</v>
      </c>
      <c r="K5" t="s">
        <v>83</v>
      </c>
      <c r="L5">
        <v>1.14488443031787</v>
      </c>
      <c r="M5">
        <v>1.22845588042172</v>
      </c>
      <c r="N5">
        <v>1.08031775079596</v>
      </c>
      <c r="O5">
        <v>8.6711364853558699</v>
      </c>
      <c r="P5">
        <v>3</v>
      </c>
      <c r="Q5">
        <v>3.3998446929832199E-2</v>
      </c>
      <c r="R5" t="s">
        <v>84</v>
      </c>
    </row>
    <row r="6" spans="1:18" x14ac:dyDescent="0.3">
      <c r="A6" t="s">
        <v>56</v>
      </c>
      <c r="B6">
        <v>-0.173087345335103</v>
      </c>
      <c r="C6">
        <v>1.5633348336695E-2</v>
      </c>
      <c r="D6">
        <v>-11.0716745771491</v>
      </c>
      <c r="E6">
        <v>1.7215318580567101E-28</v>
      </c>
      <c r="F6" t="s">
        <v>81</v>
      </c>
      <c r="G6">
        <v>0.84106414860629997</v>
      </c>
      <c r="H6">
        <v>0.81568362955516405</v>
      </c>
      <c r="I6">
        <v>0.86723439877862696</v>
      </c>
      <c r="J6" t="str">
        <f t="shared" si="0"/>
        <v>0.84 (0.82-0.87)</v>
      </c>
      <c r="K6" t="s">
        <v>56</v>
      </c>
      <c r="L6">
        <v>1.9011850992380099</v>
      </c>
      <c r="M6">
        <v>1.9011850992380099</v>
      </c>
      <c r="N6">
        <v>1.9011850992380099</v>
      </c>
      <c r="O6">
        <v>128.19026032391</v>
      </c>
      <c r="P6">
        <v>1</v>
      </c>
      <c r="Q6">
        <v>1.01982809478528E-29</v>
      </c>
      <c r="R6" t="s">
        <v>81</v>
      </c>
    </row>
    <row r="7" spans="1:18" x14ac:dyDescent="0.3">
      <c r="A7" t="s">
        <v>57</v>
      </c>
      <c r="B7">
        <v>1.37923430170411</v>
      </c>
      <c r="C7">
        <v>0.41453032584832999</v>
      </c>
      <c r="D7">
        <v>3.3272217150374499</v>
      </c>
      <c r="E7">
        <v>8.7716552232110895E-4</v>
      </c>
      <c r="F7" t="s">
        <v>87</v>
      </c>
      <c r="G7">
        <v>3.9718592170251501</v>
      </c>
      <c r="H7">
        <v>1.7625380833430699</v>
      </c>
      <c r="I7">
        <v>8.9505388785389108</v>
      </c>
      <c r="J7" t="str">
        <f t="shared" si="0"/>
        <v>3.97 (1.76-8.95)</v>
      </c>
      <c r="K7" t="s">
        <v>88</v>
      </c>
      <c r="L7">
        <v>1.3751541154732601</v>
      </c>
      <c r="M7">
        <v>1.3751541154732601</v>
      </c>
      <c r="N7">
        <v>1.3751541154732601</v>
      </c>
      <c r="O7">
        <v>13.456185685167799</v>
      </c>
      <c r="P7">
        <v>1</v>
      </c>
      <c r="Q7">
        <v>2.4419971782148401E-4</v>
      </c>
      <c r="R7" t="s">
        <v>89</v>
      </c>
    </row>
    <row r="8" spans="1:18" x14ac:dyDescent="0.3">
      <c r="A8" t="s">
        <v>58</v>
      </c>
      <c r="B8">
        <v>1.29146736018495</v>
      </c>
      <c r="C8">
        <v>0.189573067291991</v>
      </c>
      <c r="D8">
        <v>6.8125044270964796</v>
      </c>
      <c r="E8">
        <v>9.5914103609777797E-12</v>
      </c>
      <c r="F8" t="s">
        <v>90</v>
      </c>
      <c r="G8">
        <v>3.6381210749785402</v>
      </c>
      <c r="H8">
        <v>2.50904988169493</v>
      </c>
      <c r="I8">
        <v>5.2752737411748001</v>
      </c>
      <c r="J8" t="str">
        <f t="shared" si="0"/>
        <v>3.64 (2.51-5.28)</v>
      </c>
      <c r="K8" t="s">
        <v>91</v>
      </c>
      <c r="L8">
        <v>1.79770384142747</v>
      </c>
      <c r="M8">
        <v>1.79770384142747</v>
      </c>
      <c r="N8">
        <v>1.79770384142747</v>
      </c>
      <c r="O8">
        <v>50.989706482938303</v>
      </c>
      <c r="P8">
        <v>1</v>
      </c>
      <c r="Q8">
        <v>9.2851611813821204E-13</v>
      </c>
      <c r="R8" t="s">
        <v>92</v>
      </c>
    </row>
    <row r="9" spans="1:18" x14ac:dyDescent="0.3">
      <c r="A9" t="s">
        <v>59</v>
      </c>
      <c r="B9">
        <v>0.70417996156829299</v>
      </c>
      <c r="C9">
        <v>0.155466120134164</v>
      </c>
      <c r="D9">
        <v>4.5294753671127896</v>
      </c>
      <c r="E9">
        <v>5.91303272869753E-6</v>
      </c>
      <c r="F9" t="s">
        <v>93</v>
      </c>
      <c r="G9">
        <v>2.0221877331559002</v>
      </c>
      <c r="H9">
        <v>1.49102882178976</v>
      </c>
      <c r="I9">
        <v>2.7425648440636201</v>
      </c>
      <c r="J9" t="str">
        <f t="shared" si="0"/>
        <v>2.02 (1.49-2.74)</v>
      </c>
      <c r="K9" t="s">
        <v>94</v>
      </c>
      <c r="L9">
        <v>1.86079822549943</v>
      </c>
      <c r="M9">
        <v>2.2656526515627702</v>
      </c>
      <c r="N9">
        <v>1.45594379943609</v>
      </c>
      <c r="O9">
        <v>112.81135959642501</v>
      </c>
      <c r="P9">
        <v>2</v>
      </c>
      <c r="Q9">
        <v>3.18657772244363E-25</v>
      </c>
      <c r="R9" t="s">
        <v>81</v>
      </c>
    </row>
    <row r="10" spans="1:18" x14ac:dyDescent="0.3">
      <c r="A10" t="s">
        <v>60</v>
      </c>
      <c r="B10">
        <v>1.6592258650814999</v>
      </c>
      <c r="C10">
        <v>0.161725363413986</v>
      </c>
      <c r="D10">
        <v>10.2595278196049</v>
      </c>
      <c r="E10">
        <v>1.0722977556867901E-24</v>
      </c>
      <c r="F10" t="s">
        <v>81</v>
      </c>
      <c r="G10">
        <v>5.2552410037810997</v>
      </c>
      <c r="H10">
        <v>3.82762364647721</v>
      </c>
      <c r="I10">
        <v>7.2153274612670399</v>
      </c>
      <c r="J10" t="str">
        <f t="shared" si="0"/>
        <v>5.26 (3.83-7.22)</v>
      </c>
      <c r="K10" t="s">
        <v>94</v>
      </c>
      <c r="L10">
        <v>1.86079822549943</v>
      </c>
      <c r="M10">
        <v>2.2656526515627702</v>
      </c>
      <c r="N10">
        <v>2.2656526515627702</v>
      </c>
      <c r="O10">
        <v>112.81135959642501</v>
      </c>
      <c r="P10">
        <v>2</v>
      </c>
      <c r="Q10">
        <v>3.18657772244363E-25</v>
      </c>
      <c r="R10" t="s">
        <v>81</v>
      </c>
    </row>
    <row r="11" spans="1:18" x14ac:dyDescent="0.3">
      <c r="A11" t="s">
        <v>61</v>
      </c>
      <c r="B11">
        <v>-0.77450980818302595</v>
      </c>
      <c r="C11">
        <v>0.13094711811045301</v>
      </c>
      <c r="D11">
        <v>-5.9146762399897304</v>
      </c>
      <c r="E11">
        <v>3.3252901397362799E-9</v>
      </c>
      <c r="F11" t="s">
        <v>95</v>
      </c>
      <c r="G11">
        <v>0.46092966958230502</v>
      </c>
      <c r="H11">
        <v>0.356590876104043</v>
      </c>
      <c r="I11">
        <v>0.59579808272846602</v>
      </c>
      <c r="J11" t="str">
        <f t="shared" si="0"/>
        <v>0.46 (0.36-0.6)</v>
      </c>
      <c r="K11" t="s">
        <v>96</v>
      </c>
      <c r="L11">
        <v>1.1434708965543701</v>
      </c>
      <c r="M11">
        <v>1.1434708965543701</v>
      </c>
      <c r="N11">
        <v>1.1434708965543701</v>
      </c>
      <c r="O11">
        <v>36.2195125934118</v>
      </c>
      <c r="P11">
        <v>1</v>
      </c>
      <c r="Q11">
        <v>1.76296507567098E-9</v>
      </c>
      <c r="R11" t="s">
        <v>97</v>
      </c>
    </row>
    <row r="12" spans="1:18" x14ac:dyDescent="0.3">
      <c r="A12" t="s">
        <v>62</v>
      </c>
      <c r="B12">
        <v>0.53642922532648996</v>
      </c>
      <c r="C12">
        <v>0.136262488936155</v>
      </c>
      <c r="D12">
        <v>3.9367343831348198</v>
      </c>
      <c r="E12">
        <v>8.25979441011441E-5</v>
      </c>
      <c r="F12" t="s">
        <v>98</v>
      </c>
      <c r="G12">
        <v>1.7098903152463001</v>
      </c>
      <c r="H12">
        <v>1.3091194649008799</v>
      </c>
      <c r="I12">
        <v>2.2333522406180499</v>
      </c>
      <c r="J12" t="str">
        <f t="shared" si="0"/>
        <v>1.71 (1.31-2.23)</v>
      </c>
      <c r="K12" t="s">
        <v>99</v>
      </c>
      <c r="L12">
        <v>1.2113376058691701</v>
      </c>
      <c r="M12">
        <v>1.2113376058691701</v>
      </c>
      <c r="N12">
        <v>1.2113376058691701</v>
      </c>
      <c r="O12">
        <v>15.7253030953389</v>
      </c>
      <c r="P12">
        <v>1</v>
      </c>
      <c r="Q12">
        <v>7.3237883165521499E-5</v>
      </c>
      <c r="R12" t="s">
        <v>100</v>
      </c>
    </row>
    <row r="13" spans="1:18" x14ac:dyDescent="0.3">
      <c r="A13" t="s">
        <v>63</v>
      </c>
      <c r="B13">
        <v>0.31650681471789999</v>
      </c>
      <c r="C13">
        <v>0.138430326941785</v>
      </c>
      <c r="D13">
        <v>2.2863979426343599</v>
      </c>
      <c r="E13">
        <v>2.22309885896767E-2</v>
      </c>
      <c r="F13" t="s">
        <v>101</v>
      </c>
      <c r="G13">
        <v>1.3723255942161401</v>
      </c>
      <c r="H13">
        <v>1.04621969171739</v>
      </c>
      <c r="I13">
        <v>1.8000784648291801</v>
      </c>
      <c r="J13" t="str">
        <f t="shared" si="0"/>
        <v>1.37 (1.05-1.8)</v>
      </c>
      <c r="K13" t="s">
        <v>102</v>
      </c>
      <c r="L13">
        <v>1.2654951982731999</v>
      </c>
      <c r="M13">
        <v>1.2654951982731999</v>
      </c>
      <c r="N13">
        <v>1.2654951982731999</v>
      </c>
      <c r="O13">
        <v>5.2645528981934104</v>
      </c>
      <c r="P13">
        <v>1</v>
      </c>
      <c r="Q13">
        <v>2.1764012538782299E-2</v>
      </c>
      <c r="R13" t="s">
        <v>103</v>
      </c>
    </row>
    <row r="14" spans="1:18" x14ac:dyDescent="0.3">
      <c r="A14" t="s">
        <v>64</v>
      </c>
      <c r="B14">
        <v>0.58313997747255897</v>
      </c>
      <c r="C14">
        <v>0.154150053826938</v>
      </c>
      <c r="D14">
        <v>3.7829372289888399</v>
      </c>
      <c r="E14">
        <v>1.5498851090975301E-4</v>
      </c>
      <c r="F14" t="s">
        <v>104</v>
      </c>
      <c r="G14">
        <v>1.79165536509642</v>
      </c>
      <c r="H14">
        <v>1.3244613811122501</v>
      </c>
      <c r="I14">
        <v>2.42364858126937</v>
      </c>
      <c r="J14" t="str">
        <f t="shared" si="0"/>
        <v>1.79 (1.32-2.42)</v>
      </c>
      <c r="K14" t="s">
        <v>105</v>
      </c>
      <c r="L14">
        <v>1.1270104256237501</v>
      </c>
      <c r="M14">
        <v>1.1270104256237501</v>
      </c>
      <c r="N14">
        <v>1.1270104256237501</v>
      </c>
      <c r="O14">
        <v>14.433306301870299</v>
      </c>
      <c r="P14">
        <v>1</v>
      </c>
      <c r="Q14">
        <v>1.4521127350394799E-4</v>
      </c>
      <c r="R14" t="s">
        <v>106</v>
      </c>
    </row>
    <row r="15" spans="1:18" x14ac:dyDescent="0.3">
      <c r="A15" t="s">
        <v>65</v>
      </c>
      <c r="B15">
        <v>0.35685372894151501</v>
      </c>
      <c r="C15">
        <v>0.144547856989069</v>
      </c>
      <c r="D15">
        <v>2.4687583501739598</v>
      </c>
      <c r="E15">
        <v>1.3558274246650201E-2</v>
      </c>
      <c r="F15" t="s">
        <v>107</v>
      </c>
      <c r="G15">
        <v>1.4288268585510999</v>
      </c>
      <c r="H15">
        <v>1.07631151211774</v>
      </c>
      <c r="I15">
        <v>1.89679862078227</v>
      </c>
      <c r="J15" t="str">
        <f t="shared" si="0"/>
        <v>1.43 (1.08-1.9)</v>
      </c>
      <c r="K15" t="s">
        <v>108</v>
      </c>
      <c r="L15">
        <v>1.4486077623014899</v>
      </c>
      <c r="M15">
        <v>1.4486077623014899</v>
      </c>
      <c r="N15">
        <v>1.4486077623014899</v>
      </c>
      <c r="O15">
        <v>6.0939161913875104</v>
      </c>
      <c r="P15">
        <v>1</v>
      </c>
      <c r="Q15">
        <v>1.3564810258762E-2</v>
      </c>
      <c r="R15" t="s">
        <v>107</v>
      </c>
    </row>
    <row r="16" spans="1:18" x14ac:dyDescent="0.3">
      <c r="A16" t="s">
        <v>66</v>
      </c>
      <c r="B16">
        <v>0.54895599132599304</v>
      </c>
      <c r="C16">
        <v>0.135628995439212</v>
      </c>
      <c r="D16">
        <v>4.0474825427135999</v>
      </c>
      <c r="E16">
        <v>5.1771441862544698E-5</v>
      </c>
      <c r="F16" t="s">
        <v>109</v>
      </c>
      <c r="G16">
        <v>1.7314444309369901</v>
      </c>
      <c r="H16">
        <v>1.3272686185062299</v>
      </c>
      <c r="I16">
        <v>2.25869863539506</v>
      </c>
      <c r="J16" t="str">
        <f t="shared" si="0"/>
        <v>1.73 (1.33-2.26)</v>
      </c>
      <c r="K16" t="s">
        <v>110</v>
      </c>
      <c r="L16">
        <v>1.2385028583431901</v>
      </c>
      <c r="M16">
        <v>1.2385028583431901</v>
      </c>
      <c r="N16">
        <v>1.2385028583431901</v>
      </c>
      <c r="O16">
        <v>16.416810338366801</v>
      </c>
      <c r="P16">
        <v>1</v>
      </c>
      <c r="Q16">
        <v>5.0832420825556697E-5</v>
      </c>
      <c r="R16" t="s">
        <v>111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112</v>
      </c>
    </row>
    <row r="2" spans="1:1" x14ac:dyDescent="0.3">
      <c r="A2" t="s">
        <v>113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2025-10-13T03:45:41Z</dcterms:created>
  <dcterms:modified xsi:type="dcterms:W3CDTF">2025-10-22T07:50:13Z</dcterms:modified>
</cp:coreProperties>
</file>