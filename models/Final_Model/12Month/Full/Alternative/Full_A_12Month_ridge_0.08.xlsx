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12Month\Full\Alternative\"/>
    </mc:Choice>
  </mc:AlternateContent>
  <xr:revisionPtr revIDLastSave="0" documentId="13_ncr:1_{415EB36F-B9CF-461B-8AD3-033A2E5A7FE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</calcChain>
</file>

<file path=xl/sharedStrings.xml><?xml version="1.0" encoding="utf-8"?>
<sst xmlns="http://schemas.openxmlformats.org/spreadsheetml/2006/main" count="235" uniqueCount="148">
  <si>
    <t>Item</t>
  </si>
  <si>
    <t>Value</t>
  </si>
  <si>
    <t>Formula</t>
  </si>
  <si>
    <t>GOSE_12_Unfav ~ Age + arr_GCS_derived + arr_pp_size + arr_pp_prompt + head_neck_AIS + EDH + SAH + IVH + MidlineShift + basal_cistern_compression + ns(Alk.Phosphatase, df = 4) + ns(Albumin, df = 4) + ns(CRP, df = 4) + ns(aPTT, df = 4)</t>
  </si>
  <si>
    <t>N_total</t>
  </si>
  <si>
    <t>1827</t>
  </si>
  <si>
    <t>Pos_Level</t>
  </si>
  <si>
    <t>1</t>
  </si>
  <si>
    <t>Penalty</t>
  </si>
  <si>
    <t>ridge</t>
  </si>
  <si>
    <t>Alpha</t>
  </si>
  <si>
    <t>Lambda_Chosen</t>
  </si>
  <si>
    <t>0.08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</si>
  <si>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</si>
  <si>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</si>
  <si>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</si>
  <si>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</si>
  <si>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</si>
  <si>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</si>
  <si>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</si>
  <si>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</si>
  <si>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</si>
  <si>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</si>
  <si>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</si>
  <si>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</si>
  <si>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</si>
  <si>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</si>
  <si>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</si>
  <si>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</si>
  <si>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</si>
  <si>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</si>
  <si>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</si>
  <si>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</si>
  <si>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</si>
  <si>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</si>
  <si>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</si>
  <si>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</si>
  <si>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</si>
  <si>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</si>
  <si>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</si>
  <si>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</si>
  <si>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</si>
  <si>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</si>
  <si>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</si>
  <si>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</si>
  <si>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</si>
  <si>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</si>
  <si>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</si>
  <si>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</si>
  <si>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lambda=0.08</t>
  </si>
  <si>
    <t>(Intercept)</t>
  </si>
  <si>
    <t>Age</t>
  </si>
  <si>
    <t>arr_GCS_derived</t>
  </si>
  <si>
    <t>arr_pp_sizebilaterally mydriatic</t>
  </si>
  <si>
    <t>arr_pp_promptbilateral absence</t>
  </si>
  <si>
    <t>head_neck_AIS4</t>
  </si>
  <si>
    <t>head_neck_AIS5</t>
  </si>
  <si>
    <t>EDHpresent</t>
  </si>
  <si>
    <t>SAHpresent</t>
  </si>
  <si>
    <t>IVHpresent</t>
  </si>
  <si>
    <t>MidlineShiftpresent</t>
  </si>
  <si>
    <t>basal_cistern_compressionpresent</t>
  </si>
  <si>
    <t>ns(Alk.Phosphatase, df = 4)1</t>
  </si>
  <si>
    <t>ns(Alk.Phosphatase, df = 4)2</t>
  </si>
  <si>
    <t>ns(Alk.Phosphatase, df = 4)3</t>
  </si>
  <si>
    <t>ns(Alk.Phosphatase, df = 4)4</t>
  </si>
  <si>
    <t>ns(Albumin, df = 4)1</t>
  </si>
  <si>
    <t>ns(Albumin, df = 4)2</t>
  </si>
  <si>
    <t>ns(Albumin, df = 4)3</t>
  </si>
  <si>
    <t>ns(Albumin, df = 4)4</t>
  </si>
  <si>
    <t>ns(CRP, df = 4)1</t>
  </si>
  <si>
    <t>ns(CRP, df = 4)2</t>
  </si>
  <si>
    <t>ns(CRP, df = 4)3</t>
  </si>
  <si>
    <t>ns(CRP, df = 4)4</t>
  </si>
  <si>
    <t>ns(aPTT, df = 4)1</t>
  </si>
  <si>
    <t>ns(aPTT, df = 4)2</t>
  </si>
  <si>
    <t>ns(aPTT, df = 4)3</t>
  </si>
  <si>
    <t>ns(aPTT, df = 4)4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</si>
  <si>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</si>
  <si>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</si>
  <si>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</si>
  <si>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</si>
  <si>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</si>
  <si>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</si>
  <si>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</si>
  <si>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</si>
  <si>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</si>
  <si>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</si>
  <si>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</si>
  <si>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</si>
  <si>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</si>
  <si>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</si>
  <si>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2.13e-11</t>
  </si>
  <si>
    <t>4.52e-12</t>
  </si>
  <si>
    <t>1.13e-11</t>
  </si>
  <si>
    <t>6.71e-12</t>
  </si>
  <si>
    <t>0.015</t>
  </si>
  <si>
    <t>arr_pp_size</t>
  </si>
  <si>
    <t>0.00872</t>
  </si>
  <si>
    <t>0.000788</t>
  </si>
  <si>
    <t>arr_pp_prompt</t>
  </si>
  <si>
    <t>0.00067</t>
  </si>
  <si>
    <t>0.0184</t>
  </si>
  <si>
    <t>head_neck_AIS</t>
  </si>
  <si>
    <t>5.24e-14</t>
  </si>
  <si>
    <t>2.01e-13</t>
  </si>
  <si>
    <t>6.8e-07</t>
  </si>
  <si>
    <t>EDH</t>
  </si>
  <si>
    <t>3.71e-07</t>
  </si>
  <si>
    <t>0.00654</t>
  </si>
  <si>
    <t>SAH</t>
  </si>
  <si>
    <t>0.00617</t>
  </si>
  <si>
    <t>0.0315</t>
  </si>
  <si>
    <t>IVH</t>
  </si>
  <si>
    <t>0.0313</t>
  </si>
  <si>
    <t>0.00255</t>
  </si>
  <si>
    <t>MidlineShift</t>
  </si>
  <si>
    <t>0.00252</t>
  </si>
  <si>
    <t>3.37e-08</t>
  </si>
  <si>
    <t>basal_cistern_compression</t>
  </si>
  <si>
    <t>2.16e-08</t>
  </si>
  <si>
    <t>0.043</t>
  </si>
  <si>
    <t>ns(Alk.Phosphatase, df = 4)</t>
  </si>
  <si>
    <t>8.67e-07</t>
  </si>
  <si>
    <t>0.141</t>
  </si>
  <si>
    <t>0.00332</t>
  </si>
  <si>
    <t>7.29e-07</t>
  </si>
  <si>
    <t>0.669</t>
  </si>
  <si>
    <t>ns(Albumin, df = 4)</t>
  </si>
  <si>
    <t>0.0343</t>
  </si>
  <si>
    <t>0.142</t>
  </si>
  <si>
    <t>0.536</t>
  </si>
  <si>
    <t>0.712</t>
  </si>
  <si>
    <t>0.858</t>
  </si>
  <si>
    <t>ns(CRP, df = 4)</t>
  </si>
  <si>
    <t>6.71e-05</t>
  </si>
  <si>
    <t>0.494</t>
  </si>
  <si>
    <t>0.121</t>
  </si>
  <si>
    <t>2.31e-05</t>
  </si>
  <si>
    <t>0.814</t>
  </si>
  <si>
    <t>ns(aPTT, df = 4)</t>
  </si>
  <si>
    <t>4.05e-07</t>
  </si>
  <si>
    <t>0.0485</t>
  </si>
  <si>
    <t>0.292</t>
  </si>
  <si>
    <t>0.0972</t>
  </si>
  <si>
    <t>JSON</t>
  </si>
  <si>
    <t>{"formula":"GOSE_12_Unfav ~ Age + arr_GCS_derived + arr_pp_size + arr_pp_prompt + head_neck_AIS + EDH + SAH + IVH + MidlineShift + basal_cistern_compression + ns(Alk.Phosphatase, df = 4) + ns(Albumin, df = 4) + ns(CRP, df = 4) + ns(aPTT, df = 4)","penalty":"ridge","alpha":0,"lambda":0.08,"x_names":["Age","arr_GCS_derived","arr_pp_sizebilaterally mydriatic","arr_pp_promptbilateral absence","head_neck_AIS4","head_neck_AIS5","EDHpresent","SAHpresent","IVHpresent","MidlineShiftpresent","basal_cistern_compressionpresent","ns(Alk.Phosphatase, df = 4)1","ns(Alk.Phosphatase, df = 4)2","ns(Alk.Phosphatase, df = 4)3","ns(Alk.Phosphatase, df = 4)4","ns(Albumin, df = 4)1","ns(Albumin, df = 4)2","ns(Albumin, df = 4)3","ns(Albumin, df = 4)4","ns(CRP, df = 4)1","ns(CRP, df = 4)2","ns(CRP, df = 4)3","ns(CRP, df = 4)4","ns(aPTT, df = 4)1","ns(aPTT, df = 4)2","ns(aPTT, df = 4)3","ns(aPTT, df = 4)4"],"train_test":false,"test_prop":{},"split_seed":{},"standardize":true,"threshold":0.5,"family":"binomial","link":"logit"}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</si>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</sst>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O3" sqref="O3"/>
    </sheetView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14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1827</v>
      </c>
      <c r="C2">
        <v>720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0.9244</v>
      </c>
    </row>
    <row r="3" spans="1:2" x14ac:dyDescent="0.3">
      <c r="A3" t="s">
        <v>30</v>
      </c>
      <c r="B3">
        <v>0.86370000000000002</v>
      </c>
    </row>
    <row r="4" spans="1:2" x14ac:dyDescent="0.3">
      <c r="A4" t="s">
        <v>31</v>
      </c>
      <c r="B4">
        <v>0.76529999999999998</v>
      </c>
    </row>
    <row r="5" spans="1:2" x14ac:dyDescent="0.3">
      <c r="A5" t="s">
        <v>32</v>
      </c>
      <c r="B5">
        <v>0.87319999999999998</v>
      </c>
    </row>
    <row r="6" spans="1:2" x14ac:dyDescent="0.3">
      <c r="A6" t="s">
        <v>33</v>
      </c>
      <c r="B6">
        <v>0.81569999999999998</v>
      </c>
    </row>
    <row r="7" spans="1:2" x14ac:dyDescent="0.3">
      <c r="A7" t="s">
        <v>34</v>
      </c>
      <c r="B7">
        <v>0.48249999999999998</v>
      </c>
    </row>
    <row r="8" spans="1:2" x14ac:dyDescent="0.3">
      <c r="A8" t="s">
        <v>35</v>
      </c>
      <c r="B8">
        <v>1323.883</v>
      </c>
    </row>
    <row r="9" spans="1:2" x14ac:dyDescent="0.3">
      <c r="A9" t="s">
        <v>36</v>
      </c>
      <c r="B9">
        <v>0.1046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-2.67608086529425E-8</v>
      </c>
      <c r="C2">
        <v>6.3252035552692196E-2</v>
      </c>
      <c r="D2">
        <v>-4.2308217307329699E-7</v>
      </c>
      <c r="E2">
        <v>0.99999966242926597</v>
      </c>
      <c r="F2">
        <v>-0.123974016444085</v>
      </c>
      <c r="G2">
        <v>0.123973962922468</v>
      </c>
    </row>
    <row r="3" spans="1:7" x14ac:dyDescent="0.3">
      <c r="A3" t="s">
        <v>45</v>
      </c>
      <c r="B3">
        <v>1.43422205644314</v>
      </c>
      <c r="C3">
        <v>6.3927726857867295E-2</v>
      </c>
      <c r="D3">
        <v>22.435054817949201</v>
      </c>
      <c r="E3">
        <v>1.7908850802220398E-111</v>
      </c>
      <c r="F3">
        <v>1.3089237118017201</v>
      </c>
      <c r="G3">
        <v>1.55952040108456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-1.2966829531444799</v>
      </c>
    </row>
    <row r="3" spans="1:3" x14ac:dyDescent="0.3">
      <c r="A3" t="s">
        <v>49</v>
      </c>
      <c r="B3" t="s">
        <v>51</v>
      </c>
      <c r="C3">
        <v>1.61580051677188E-2</v>
      </c>
    </row>
    <row r="4" spans="1:3" x14ac:dyDescent="0.3">
      <c r="A4" t="s">
        <v>49</v>
      </c>
      <c r="B4" t="s">
        <v>52</v>
      </c>
      <c r="C4">
        <v>-9.2896678329828702E-2</v>
      </c>
    </row>
    <row r="5" spans="1:3" x14ac:dyDescent="0.3">
      <c r="A5" t="s">
        <v>49</v>
      </c>
      <c r="B5" t="s">
        <v>53</v>
      </c>
      <c r="C5">
        <v>0.65775439012456105</v>
      </c>
    </row>
    <row r="6" spans="1:3" x14ac:dyDescent="0.3">
      <c r="A6" t="s">
        <v>49</v>
      </c>
      <c r="B6" t="s">
        <v>54</v>
      </c>
      <c r="C6">
        <v>0.76513849962078295</v>
      </c>
    </row>
    <row r="7" spans="1:3" x14ac:dyDescent="0.3">
      <c r="A7" t="s">
        <v>49</v>
      </c>
      <c r="B7" t="s">
        <v>55</v>
      </c>
      <c r="C7">
        <v>0.10600808142636001</v>
      </c>
    </row>
    <row r="8" spans="1:3" x14ac:dyDescent="0.3">
      <c r="A8" t="s">
        <v>49</v>
      </c>
      <c r="B8" t="s">
        <v>56</v>
      </c>
      <c r="C8">
        <v>0.87189225422108696</v>
      </c>
    </row>
    <row r="9" spans="1:3" x14ac:dyDescent="0.3">
      <c r="A9" t="s">
        <v>49</v>
      </c>
      <c r="B9" t="s">
        <v>57</v>
      </c>
      <c r="C9">
        <v>-0.43923817252740899</v>
      </c>
    </row>
    <row r="10" spans="1:3" x14ac:dyDescent="0.3">
      <c r="A10" t="s">
        <v>49</v>
      </c>
      <c r="B10" t="s">
        <v>58</v>
      </c>
      <c r="C10">
        <v>0.35170121034594398</v>
      </c>
    </row>
    <row r="11" spans="1:3" x14ac:dyDescent="0.3">
      <c r="A11" t="s">
        <v>49</v>
      </c>
      <c r="B11" t="s">
        <v>59</v>
      </c>
      <c r="C11">
        <v>0.40858786549645998</v>
      </c>
    </row>
    <row r="12" spans="1:3" x14ac:dyDescent="0.3">
      <c r="A12" t="s">
        <v>49</v>
      </c>
      <c r="B12" t="s">
        <v>60</v>
      </c>
      <c r="C12">
        <v>0.58444776027927003</v>
      </c>
    </row>
    <row r="13" spans="1:3" x14ac:dyDescent="0.3">
      <c r="A13" t="s">
        <v>49</v>
      </c>
      <c r="B13" t="s">
        <v>61</v>
      </c>
      <c r="C13">
        <v>0.74016472239736997</v>
      </c>
    </row>
    <row r="14" spans="1:3" x14ac:dyDescent="0.3">
      <c r="A14" t="s">
        <v>49</v>
      </c>
      <c r="B14" t="s">
        <v>62</v>
      </c>
      <c r="C14">
        <v>-2.3928681203747401E-2</v>
      </c>
    </row>
    <row r="15" spans="1:3" x14ac:dyDescent="0.3">
      <c r="A15" t="s">
        <v>49</v>
      </c>
      <c r="B15" t="s">
        <v>63</v>
      </c>
      <c r="C15">
        <v>0.23660748084104299</v>
      </c>
    </row>
    <row r="16" spans="1:3" x14ac:dyDescent="0.3">
      <c r="A16" t="s">
        <v>49</v>
      </c>
      <c r="B16" t="s">
        <v>64</v>
      </c>
      <c r="C16">
        <v>0.335820082853447</v>
      </c>
    </row>
    <row r="17" spans="1:3" x14ac:dyDescent="0.3">
      <c r="A17" t="s">
        <v>49</v>
      </c>
      <c r="B17" t="s">
        <v>65</v>
      </c>
      <c r="C17">
        <v>1.1868630532611499</v>
      </c>
    </row>
    <row r="18" spans="1:3" x14ac:dyDescent="0.3">
      <c r="A18" t="s">
        <v>49</v>
      </c>
      <c r="B18" t="s">
        <v>66</v>
      </c>
      <c r="C18">
        <v>-0.14180718066835599</v>
      </c>
    </row>
    <row r="19" spans="1:3" x14ac:dyDescent="0.3">
      <c r="A19" t="s">
        <v>49</v>
      </c>
      <c r="B19" t="s">
        <v>67</v>
      </c>
      <c r="C19">
        <v>-0.544083459956899</v>
      </c>
    </row>
    <row r="20" spans="1:3" x14ac:dyDescent="0.3">
      <c r="A20" t="s">
        <v>49</v>
      </c>
      <c r="B20" t="s">
        <v>68</v>
      </c>
      <c r="C20">
        <v>0.59943139130949397</v>
      </c>
    </row>
    <row r="21" spans="1:3" x14ac:dyDescent="0.3">
      <c r="A21" t="s">
        <v>49</v>
      </c>
      <c r="B21" t="s">
        <v>69</v>
      </c>
      <c r="C21">
        <v>-0.51973186321757403</v>
      </c>
    </row>
    <row r="22" spans="1:3" x14ac:dyDescent="0.3">
      <c r="A22" t="s">
        <v>49</v>
      </c>
      <c r="B22" t="s">
        <v>70</v>
      </c>
      <c r="C22">
        <v>-6.88228034847959E-2</v>
      </c>
    </row>
    <row r="23" spans="1:3" x14ac:dyDescent="0.3">
      <c r="A23" t="s">
        <v>49</v>
      </c>
      <c r="B23" t="s">
        <v>71</v>
      </c>
      <c r="C23">
        <v>0.18142045208024701</v>
      </c>
    </row>
    <row r="24" spans="1:3" x14ac:dyDescent="0.3">
      <c r="A24" t="s">
        <v>49</v>
      </c>
      <c r="B24" t="s">
        <v>72</v>
      </c>
      <c r="C24">
        <v>0.49624181034304599</v>
      </c>
    </row>
    <row r="25" spans="1:3" x14ac:dyDescent="0.3">
      <c r="A25" t="s">
        <v>49</v>
      </c>
      <c r="B25" t="s">
        <v>73</v>
      </c>
      <c r="C25">
        <v>0.94928096060997802</v>
      </c>
    </row>
    <row r="26" spans="1:3" x14ac:dyDescent="0.3">
      <c r="A26" t="s">
        <v>49</v>
      </c>
      <c r="B26" t="s">
        <v>74</v>
      </c>
      <c r="C26">
        <v>-0.15394085038522801</v>
      </c>
    </row>
    <row r="27" spans="1:3" x14ac:dyDescent="0.3">
      <c r="A27" t="s">
        <v>49</v>
      </c>
      <c r="B27" t="s">
        <v>75</v>
      </c>
      <c r="C27">
        <v>1.1685273044954401</v>
      </c>
    </row>
    <row r="28" spans="1:3" x14ac:dyDescent="0.3">
      <c r="A28" t="s">
        <v>49</v>
      </c>
      <c r="B28" t="s">
        <v>76</v>
      </c>
      <c r="C28">
        <v>-0.26305556503962402</v>
      </c>
    </row>
    <row r="29" spans="1:3" x14ac:dyDescent="0.3">
      <c r="A29" t="s">
        <v>49</v>
      </c>
      <c r="B29" t="s">
        <v>77</v>
      </c>
      <c r="C29">
        <v>1.2916398425411399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8"/>
  <sheetViews>
    <sheetView tabSelected="1" topLeftCell="A16" workbookViewId="0">
      <pane xSplit="1" topLeftCell="E1" activePane="topRight" state="frozen"/>
      <selection pane="topRight" activeCell="R17" sqref="R17"/>
    </sheetView>
  </sheetViews>
  <sheetFormatPr defaultColWidth="11.5546875" defaultRowHeight="14.4" x14ac:dyDescent="0.3"/>
  <sheetData>
    <row r="1" spans="1:18" x14ac:dyDescent="0.3">
      <c r="A1" t="s">
        <v>78</v>
      </c>
      <c r="B1" t="s">
        <v>79</v>
      </c>
      <c r="C1" t="s">
        <v>80</v>
      </c>
      <c r="D1" t="s">
        <v>81</v>
      </c>
      <c r="E1" t="s">
        <v>41</v>
      </c>
      <c r="F1" t="s">
        <v>82</v>
      </c>
      <c r="G1" t="s">
        <v>83</v>
      </c>
      <c r="H1" t="s">
        <v>42</v>
      </c>
      <c r="I1" t="s">
        <v>43</v>
      </c>
      <c r="J1" t="s">
        <v>147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</row>
    <row r="2" spans="1:18" x14ac:dyDescent="0.3">
      <c r="A2" t="s">
        <v>51</v>
      </c>
      <c r="B2">
        <v>3.2442201646526801E-2</v>
      </c>
      <c r="C2">
        <v>4.8445439968608202E-3</v>
      </c>
      <c r="D2">
        <v>6.6966471287181504</v>
      </c>
      <c r="E2">
        <v>2.1325573312405402E-11</v>
      </c>
      <c r="F2" t="s">
        <v>92</v>
      </c>
      <c r="G2">
        <v>1.03297418721134</v>
      </c>
      <c r="H2">
        <v>1.02321220084275</v>
      </c>
      <c r="I2">
        <v>1.0428293081005899</v>
      </c>
      <c r="J2" t="str">
        <f>_xlfn.CONCAT(ROUND(G2,3), " (", ROUND(H2,3), "-", ROUND(I2,3),")")</f>
        <v>1.033 (1.023-1.043)</v>
      </c>
      <c r="K2" t="s">
        <v>51</v>
      </c>
      <c r="L2">
        <v>1.2277298855994101</v>
      </c>
      <c r="M2">
        <v>1.2277298855994101</v>
      </c>
      <c r="N2">
        <v>1.2277298855994101</v>
      </c>
      <c r="O2">
        <v>47.884477038398899</v>
      </c>
      <c r="P2">
        <v>1</v>
      </c>
      <c r="Q2">
        <v>4.5208683359662199E-12</v>
      </c>
      <c r="R2" t="s">
        <v>93</v>
      </c>
    </row>
    <row r="3" spans="1:18" x14ac:dyDescent="0.3">
      <c r="A3" t="s">
        <v>52</v>
      </c>
      <c r="B3">
        <v>-0.14792245355283001</v>
      </c>
      <c r="C3">
        <v>2.17877977118251E-2</v>
      </c>
      <c r="D3">
        <v>-6.7892338413141404</v>
      </c>
      <c r="E3">
        <v>1.1273059496405099E-11</v>
      </c>
      <c r="F3" t="s">
        <v>94</v>
      </c>
      <c r="G3">
        <v>0.86249799600409904</v>
      </c>
      <c r="H3">
        <v>0.82644117566919295</v>
      </c>
      <c r="I3">
        <v>0.90012794015100706</v>
      </c>
      <c r="J3" t="str">
        <f t="shared" ref="J3:J28" si="0">_xlfn.CONCAT(ROUND(G3,2), " (", ROUND(H3,2), "-", ROUND(I3,2),")")</f>
        <v>0.86 (0.83-0.9)</v>
      </c>
      <c r="K3" t="s">
        <v>52</v>
      </c>
      <c r="L3">
        <v>2.2608054757070399</v>
      </c>
      <c r="M3">
        <v>2.2608054757070399</v>
      </c>
      <c r="N3">
        <v>2.2608054757070399</v>
      </c>
      <c r="O3">
        <v>47.109457887979303</v>
      </c>
      <c r="P3">
        <v>1</v>
      </c>
      <c r="Q3">
        <v>6.7130966549520204E-12</v>
      </c>
      <c r="R3" t="s">
        <v>95</v>
      </c>
    </row>
    <row r="4" spans="1:18" x14ac:dyDescent="0.3">
      <c r="A4" t="s">
        <v>53</v>
      </c>
      <c r="B4">
        <v>1.25097142006274</v>
      </c>
      <c r="C4">
        <v>0.51417855885339103</v>
      </c>
      <c r="D4">
        <v>2.4329513522547201</v>
      </c>
      <c r="E4">
        <v>1.49763128908407E-2</v>
      </c>
      <c r="F4" t="s">
        <v>96</v>
      </c>
      <c r="G4">
        <v>3.4937351940131198</v>
      </c>
      <c r="H4">
        <v>1.2752999995656</v>
      </c>
      <c r="I4">
        <v>9.5712268564601501</v>
      </c>
      <c r="J4" t="str">
        <f t="shared" si="0"/>
        <v>3.49 (1.28-9.57)</v>
      </c>
      <c r="K4" t="s">
        <v>97</v>
      </c>
      <c r="L4">
        <v>1.4278163803962201</v>
      </c>
      <c r="M4">
        <v>1.4278163803962201</v>
      </c>
      <c r="N4">
        <v>1.4278163803962201</v>
      </c>
      <c r="O4">
        <v>6.88000021634502</v>
      </c>
      <c r="P4">
        <v>1</v>
      </c>
      <c r="Q4">
        <v>8.7165552966603707E-3</v>
      </c>
      <c r="R4" t="s">
        <v>98</v>
      </c>
    </row>
    <row r="5" spans="1:18" x14ac:dyDescent="0.3">
      <c r="A5" t="s">
        <v>54</v>
      </c>
      <c r="B5">
        <v>0.79982493475787197</v>
      </c>
      <c r="C5">
        <v>0.23826204584927599</v>
      </c>
      <c r="D5">
        <v>3.35691289775896</v>
      </c>
      <c r="E5">
        <v>7.8817938414351004E-4</v>
      </c>
      <c r="F5" t="s">
        <v>99</v>
      </c>
      <c r="G5">
        <v>2.2251513477329801</v>
      </c>
      <c r="H5">
        <v>1.3949119916961199</v>
      </c>
      <c r="I5">
        <v>3.5495418705931701</v>
      </c>
      <c r="J5" t="str">
        <f t="shared" si="0"/>
        <v>2.23 (1.39-3.55)</v>
      </c>
      <c r="K5" t="s">
        <v>100</v>
      </c>
      <c r="L5">
        <v>1.95399536133789</v>
      </c>
      <c r="M5">
        <v>1.95399536133789</v>
      </c>
      <c r="N5">
        <v>1.95399536133789</v>
      </c>
      <c r="O5">
        <v>11.571582431043201</v>
      </c>
      <c r="P5">
        <v>1</v>
      </c>
      <c r="Q5">
        <v>6.6967403504994405E-4</v>
      </c>
      <c r="R5" t="s">
        <v>101</v>
      </c>
    </row>
    <row r="6" spans="1:18" x14ac:dyDescent="0.3">
      <c r="A6" t="s">
        <v>55</v>
      </c>
      <c r="B6">
        <v>0.50654587696699005</v>
      </c>
      <c r="C6">
        <v>0.21484032428525701</v>
      </c>
      <c r="D6">
        <v>2.35777840427395</v>
      </c>
      <c r="E6">
        <v>1.8384663816944501E-2</v>
      </c>
      <c r="F6" t="s">
        <v>102</v>
      </c>
      <c r="G6">
        <v>1.6595489971108199</v>
      </c>
      <c r="H6">
        <v>1.0892167297508</v>
      </c>
      <c r="I6">
        <v>2.5285168677510499</v>
      </c>
      <c r="J6" t="str">
        <f t="shared" si="0"/>
        <v>1.66 (1.09-2.53)</v>
      </c>
      <c r="K6" t="s">
        <v>103</v>
      </c>
      <c r="L6">
        <v>1.91379745253932</v>
      </c>
      <c r="M6">
        <v>2.36451047095558</v>
      </c>
      <c r="N6">
        <v>1.46308443412306</v>
      </c>
      <c r="O6">
        <v>61.1584066285441</v>
      </c>
      <c r="P6">
        <v>2</v>
      </c>
      <c r="Q6">
        <v>5.2434935680766298E-14</v>
      </c>
      <c r="R6" t="s">
        <v>104</v>
      </c>
    </row>
    <row r="7" spans="1:18" x14ac:dyDescent="0.3">
      <c r="A7" t="s">
        <v>56</v>
      </c>
      <c r="B7">
        <v>1.61945050429342</v>
      </c>
      <c r="C7">
        <v>0.22039534393183699</v>
      </c>
      <c r="D7">
        <v>7.3479342866438904</v>
      </c>
      <c r="E7">
        <v>2.01293410566661E-13</v>
      </c>
      <c r="F7" t="s">
        <v>105</v>
      </c>
      <c r="G7">
        <v>5.0503144278692496</v>
      </c>
      <c r="H7">
        <v>3.2787938633717899</v>
      </c>
      <c r="I7">
        <v>7.77898119954245</v>
      </c>
      <c r="J7" t="str">
        <f t="shared" si="0"/>
        <v>5.05 (3.28-7.78)</v>
      </c>
      <c r="K7" t="s">
        <v>103</v>
      </c>
      <c r="L7">
        <v>1.91379745253932</v>
      </c>
      <c r="M7">
        <v>2.36451047095558</v>
      </c>
      <c r="N7">
        <v>2.36451047095558</v>
      </c>
      <c r="O7">
        <v>61.1584066285441</v>
      </c>
      <c r="P7">
        <v>2</v>
      </c>
      <c r="Q7">
        <v>5.2434935680766298E-14</v>
      </c>
      <c r="R7" t="s">
        <v>104</v>
      </c>
    </row>
    <row r="8" spans="1:18" x14ac:dyDescent="0.3">
      <c r="A8" t="s">
        <v>57</v>
      </c>
      <c r="B8">
        <v>-0.88734711431940105</v>
      </c>
      <c r="C8">
        <v>0.17864419455901301</v>
      </c>
      <c r="D8">
        <v>-4.9671197908772804</v>
      </c>
      <c r="E8">
        <v>6.7954614606021696E-7</v>
      </c>
      <c r="F8" t="s">
        <v>106</v>
      </c>
      <c r="G8">
        <v>0.41174662185421101</v>
      </c>
      <c r="H8">
        <v>0.29011156135350802</v>
      </c>
      <c r="I8">
        <v>0.58437960837338598</v>
      </c>
      <c r="J8" t="str">
        <f t="shared" si="0"/>
        <v>0.41 (0.29-0.58)</v>
      </c>
      <c r="K8" t="s">
        <v>107</v>
      </c>
      <c r="L8">
        <v>1.1372217581166899</v>
      </c>
      <c r="M8">
        <v>1.1372217581166899</v>
      </c>
      <c r="N8">
        <v>1.1372217581166899</v>
      </c>
      <c r="O8">
        <v>25.841851426715301</v>
      </c>
      <c r="P8">
        <v>1</v>
      </c>
      <c r="Q8">
        <v>3.7056577410537798E-7</v>
      </c>
      <c r="R8" t="s">
        <v>108</v>
      </c>
    </row>
    <row r="9" spans="1:18" x14ac:dyDescent="0.3">
      <c r="A9" t="s">
        <v>58</v>
      </c>
      <c r="B9">
        <v>0.47690460935978002</v>
      </c>
      <c r="C9">
        <v>0.17535688965782301</v>
      </c>
      <c r="D9">
        <v>2.7196228804603702</v>
      </c>
      <c r="E9">
        <v>6.5356406613799002E-3</v>
      </c>
      <c r="F9" t="s">
        <v>109</v>
      </c>
      <c r="G9">
        <v>1.6110797547948399</v>
      </c>
      <c r="H9">
        <v>1.14248430426484</v>
      </c>
      <c r="I9">
        <v>2.2718718905989701</v>
      </c>
      <c r="J9" t="str">
        <f t="shared" si="0"/>
        <v>1.61 (1.14-2.27)</v>
      </c>
      <c r="K9" t="s">
        <v>110</v>
      </c>
      <c r="L9">
        <v>1.20307413359912</v>
      </c>
      <c r="M9">
        <v>1.20307413359912</v>
      </c>
      <c r="N9">
        <v>1.20307413359912</v>
      </c>
      <c r="O9">
        <v>7.49961617956978</v>
      </c>
      <c r="P9">
        <v>1</v>
      </c>
      <c r="Q9">
        <v>6.1712143953116397E-3</v>
      </c>
      <c r="R9" t="s">
        <v>111</v>
      </c>
    </row>
    <row r="10" spans="1:18" x14ac:dyDescent="0.3">
      <c r="A10" t="s">
        <v>59</v>
      </c>
      <c r="B10">
        <v>0.46467639801485799</v>
      </c>
      <c r="C10">
        <v>0.21610425201240199</v>
      </c>
      <c r="D10">
        <v>2.1502418100879899</v>
      </c>
      <c r="E10">
        <v>3.1536092555467903E-2</v>
      </c>
      <c r="F10" t="s">
        <v>112</v>
      </c>
      <c r="G10">
        <v>1.59149909328268</v>
      </c>
      <c r="H10">
        <v>1.04196886627556</v>
      </c>
      <c r="I10">
        <v>2.4308493717025801</v>
      </c>
      <c r="J10" t="str">
        <f t="shared" si="0"/>
        <v>1.59 (1.04-2.43)</v>
      </c>
      <c r="K10" t="s">
        <v>113</v>
      </c>
      <c r="L10">
        <v>1.1520754766086101</v>
      </c>
      <c r="M10">
        <v>1.1520754766086101</v>
      </c>
      <c r="N10">
        <v>1.1520754766086101</v>
      </c>
      <c r="O10">
        <v>4.6341016656483598</v>
      </c>
      <c r="P10">
        <v>1</v>
      </c>
      <c r="Q10">
        <v>3.1342548899791899E-2</v>
      </c>
      <c r="R10" t="s">
        <v>114</v>
      </c>
    </row>
    <row r="11" spans="1:18" x14ac:dyDescent="0.3">
      <c r="A11" t="s">
        <v>60</v>
      </c>
      <c r="B11">
        <v>0.59888670109894604</v>
      </c>
      <c r="C11">
        <v>0.19846032769910299</v>
      </c>
      <c r="D11">
        <v>3.0176645783178899</v>
      </c>
      <c r="E11">
        <v>2.5473068040435601E-3</v>
      </c>
      <c r="F11" t="s">
        <v>115</v>
      </c>
      <c r="G11">
        <v>1.82009136631192</v>
      </c>
      <c r="H11">
        <v>1.2335601985156199</v>
      </c>
      <c r="I11">
        <v>2.6855054059862602</v>
      </c>
      <c r="J11" t="str">
        <f t="shared" si="0"/>
        <v>1.82 (1.23-2.69)</v>
      </c>
      <c r="K11" t="s">
        <v>116</v>
      </c>
      <c r="L11">
        <v>1.47768840170171</v>
      </c>
      <c r="M11">
        <v>1.47768840170171</v>
      </c>
      <c r="N11">
        <v>1.47768840170171</v>
      </c>
      <c r="O11">
        <v>9.1257543435983699</v>
      </c>
      <c r="P11">
        <v>1</v>
      </c>
      <c r="Q11">
        <v>2.5203594019382802E-3</v>
      </c>
      <c r="R11" t="s">
        <v>117</v>
      </c>
    </row>
    <row r="12" spans="1:18" x14ac:dyDescent="0.3">
      <c r="A12" t="s">
        <v>61</v>
      </c>
      <c r="B12">
        <v>1.0875802151401801</v>
      </c>
      <c r="C12">
        <v>0.19698417406649199</v>
      </c>
      <c r="D12">
        <v>5.5211552922676299</v>
      </c>
      <c r="E12">
        <v>3.36777967500954E-8</v>
      </c>
      <c r="F12" t="s">
        <v>118</v>
      </c>
      <c r="G12">
        <v>2.9670856698948498</v>
      </c>
      <c r="H12">
        <v>2.0167579240983899</v>
      </c>
      <c r="I12">
        <v>4.3652226513160004</v>
      </c>
      <c r="J12" t="str">
        <f t="shared" si="0"/>
        <v>2.97 (2.02-4.37)</v>
      </c>
      <c r="K12" t="s">
        <v>119</v>
      </c>
      <c r="L12">
        <v>1.2906902340717901</v>
      </c>
      <c r="M12">
        <v>1.2906902340717901</v>
      </c>
      <c r="N12">
        <v>1.2906902340717901</v>
      </c>
      <c r="O12">
        <v>31.341381303514702</v>
      </c>
      <c r="P12">
        <v>1</v>
      </c>
      <c r="Q12">
        <v>2.1641728746710599E-8</v>
      </c>
      <c r="R12" t="s">
        <v>120</v>
      </c>
    </row>
    <row r="13" spans="1:18" x14ac:dyDescent="0.3">
      <c r="A13" t="s">
        <v>62</v>
      </c>
      <c r="B13">
        <v>0.91415565773927399</v>
      </c>
      <c r="C13">
        <v>0.45180180061286201</v>
      </c>
      <c r="D13">
        <v>2.0233554990246501</v>
      </c>
      <c r="E13">
        <v>4.3036508744392299E-2</v>
      </c>
      <c r="F13" t="s">
        <v>121</v>
      </c>
      <c r="G13">
        <v>2.49466800878657</v>
      </c>
      <c r="H13">
        <v>1.02903773585696</v>
      </c>
      <c r="I13">
        <v>6.0477553516348301</v>
      </c>
      <c r="J13" t="str">
        <f t="shared" si="0"/>
        <v>2.49 (1.03-6.05)</v>
      </c>
      <c r="K13" t="s">
        <v>122</v>
      </c>
      <c r="L13">
        <v>2.6201488339333299</v>
      </c>
      <c r="M13">
        <v>4.1113908612236498</v>
      </c>
      <c r="N13">
        <v>2.6287094945751601</v>
      </c>
      <c r="O13">
        <v>33.679284557621699</v>
      </c>
      <c r="P13">
        <v>4</v>
      </c>
      <c r="Q13">
        <v>8.6700663835802205E-7</v>
      </c>
      <c r="R13" t="s">
        <v>123</v>
      </c>
    </row>
    <row r="14" spans="1:18" x14ac:dyDescent="0.3">
      <c r="A14" t="s">
        <v>63</v>
      </c>
      <c r="B14">
        <v>0.67058563210308997</v>
      </c>
      <c r="C14">
        <v>0.45584722737306999</v>
      </c>
      <c r="D14">
        <v>1.47107537752835</v>
      </c>
      <c r="E14">
        <v>0.14127073304306301</v>
      </c>
      <c r="F14" t="s">
        <v>124</v>
      </c>
      <c r="G14">
        <v>1.9553821199308501</v>
      </c>
      <c r="H14">
        <v>0.80021492307765296</v>
      </c>
      <c r="I14">
        <v>4.7781153846017901</v>
      </c>
      <c r="J14" t="str">
        <f t="shared" si="0"/>
        <v>1.96 (0.8-4.78)</v>
      </c>
      <c r="K14" t="s">
        <v>122</v>
      </c>
      <c r="L14">
        <v>2.6201488339333299</v>
      </c>
      <c r="M14">
        <v>4.1113908612236498</v>
      </c>
      <c r="N14">
        <v>2.1792187857251801</v>
      </c>
      <c r="O14">
        <v>33.679284557621699</v>
      </c>
      <c r="P14">
        <v>4</v>
      </c>
      <c r="Q14">
        <v>8.6700663835802205E-7</v>
      </c>
      <c r="R14" t="s">
        <v>123</v>
      </c>
    </row>
    <row r="15" spans="1:18" x14ac:dyDescent="0.3">
      <c r="A15" t="s">
        <v>64</v>
      </c>
      <c r="B15">
        <v>3.0068716946457501</v>
      </c>
      <c r="C15">
        <v>1.02410227152622</v>
      </c>
      <c r="D15">
        <v>2.9361048971843502</v>
      </c>
      <c r="E15">
        <v>3.3236191195772898E-3</v>
      </c>
      <c r="F15" t="s">
        <v>125</v>
      </c>
      <c r="G15">
        <v>20.224033909231199</v>
      </c>
      <c r="H15">
        <v>2.71727962631978</v>
      </c>
      <c r="I15">
        <v>150.52243560067001</v>
      </c>
      <c r="J15" t="str">
        <f t="shared" si="0"/>
        <v>20.22 (2.72-150.52)</v>
      </c>
      <c r="K15" t="s">
        <v>122</v>
      </c>
      <c r="L15">
        <v>2.6201488339333299</v>
      </c>
      <c r="M15">
        <v>4.1113908612236498</v>
      </c>
      <c r="N15">
        <v>4.1113908612236498</v>
      </c>
      <c r="O15">
        <v>33.679284557621699</v>
      </c>
      <c r="P15">
        <v>4</v>
      </c>
      <c r="Q15">
        <v>8.6700663835802205E-7</v>
      </c>
      <c r="R15" t="s">
        <v>123</v>
      </c>
    </row>
    <row r="16" spans="1:18" x14ac:dyDescent="0.3">
      <c r="A16" t="s">
        <v>65</v>
      </c>
      <c r="B16">
        <v>2.9271637179861099</v>
      </c>
      <c r="C16">
        <v>0.59092975970712802</v>
      </c>
      <c r="D16">
        <v>4.9534884136430204</v>
      </c>
      <c r="E16">
        <v>7.2894700649133403E-7</v>
      </c>
      <c r="F16" t="s">
        <v>126</v>
      </c>
      <c r="G16">
        <v>18.6745889111377</v>
      </c>
      <c r="H16">
        <v>5.8646416996477804</v>
      </c>
      <c r="I16">
        <v>59.464889563659199</v>
      </c>
      <c r="J16" t="str">
        <f t="shared" si="0"/>
        <v>18.67 (5.86-59.46)</v>
      </c>
      <c r="K16" t="s">
        <v>122</v>
      </c>
      <c r="L16">
        <v>2.6201488339333299</v>
      </c>
      <c r="M16">
        <v>4.1113908612236498</v>
      </c>
      <c r="N16">
        <v>1.5612761942093401</v>
      </c>
      <c r="O16">
        <v>33.679284557621699</v>
      </c>
      <c r="P16">
        <v>4</v>
      </c>
      <c r="Q16">
        <v>8.6700663835802205E-7</v>
      </c>
      <c r="R16" t="s">
        <v>123</v>
      </c>
    </row>
    <row r="17" spans="1:18" x14ac:dyDescent="0.3">
      <c r="A17" t="s">
        <v>66</v>
      </c>
      <c r="B17">
        <v>-0.23856624236113799</v>
      </c>
      <c r="C17">
        <v>0.55834279403172304</v>
      </c>
      <c r="D17">
        <v>-0.427275582153538</v>
      </c>
      <c r="E17">
        <v>0.66917861568646198</v>
      </c>
      <c r="F17" t="s">
        <v>127</v>
      </c>
      <c r="G17">
        <v>0.78775650367794003</v>
      </c>
      <c r="H17">
        <v>0.26370661024009001</v>
      </c>
      <c r="I17">
        <v>2.3532224259448999</v>
      </c>
      <c r="J17" t="str">
        <f t="shared" si="0"/>
        <v>0.79 (0.26-2.35)</v>
      </c>
      <c r="K17" t="s">
        <v>128</v>
      </c>
      <c r="L17">
        <v>2.78150844562929</v>
      </c>
      <c r="M17">
        <v>3.646358983476</v>
      </c>
      <c r="N17">
        <v>3.646358983476</v>
      </c>
      <c r="O17">
        <v>10.3951532089739</v>
      </c>
      <c r="P17">
        <v>4</v>
      </c>
      <c r="Q17">
        <v>3.4272285337082799E-2</v>
      </c>
      <c r="R17" t="s">
        <v>129</v>
      </c>
    </row>
    <row r="18" spans="1:18" x14ac:dyDescent="0.3">
      <c r="A18" t="s">
        <v>67</v>
      </c>
      <c r="B18">
        <v>-0.66933926712194702</v>
      </c>
      <c r="C18">
        <v>0.455835653119747</v>
      </c>
      <c r="D18">
        <v>-1.4683784880383499</v>
      </c>
      <c r="E18">
        <v>0.14200144162065101</v>
      </c>
      <c r="F18" t="s">
        <v>130</v>
      </c>
      <c r="G18">
        <v>0.51204679219025095</v>
      </c>
      <c r="H18">
        <v>0.20955330198382199</v>
      </c>
      <c r="I18">
        <v>1.2511943973689701</v>
      </c>
      <c r="J18" t="str">
        <f t="shared" si="0"/>
        <v>0.51 (0.21-1.25)</v>
      </c>
      <c r="K18" t="s">
        <v>128</v>
      </c>
      <c r="L18">
        <v>2.78150844562929</v>
      </c>
      <c r="M18">
        <v>3.646358983476</v>
      </c>
      <c r="N18">
        <v>2.4241778492213002</v>
      </c>
      <c r="O18">
        <v>10.3951532089739</v>
      </c>
      <c r="P18">
        <v>4</v>
      </c>
      <c r="Q18">
        <v>3.4272285337082799E-2</v>
      </c>
      <c r="R18" t="s">
        <v>129</v>
      </c>
    </row>
    <row r="19" spans="1:18" x14ac:dyDescent="0.3">
      <c r="A19" t="s">
        <v>68</v>
      </c>
      <c r="B19">
        <v>0.79793219881136201</v>
      </c>
      <c r="C19">
        <v>1.2881011381524901</v>
      </c>
      <c r="D19">
        <v>0.61946393429620505</v>
      </c>
      <c r="E19">
        <v>0.53561077404055601</v>
      </c>
      <c r="F19" t="s">
        <v>131</v>
      </c>
      <c r="G19">
        <v>2.2209437070232401</v>
      </c>
      <c r="H19">
        <v>0.17786222736239701</v>
      </c>
      <c r="I19">
        <v>27.7326502817033</v>
      </c>
      <c r="J19" t="str">
        <f t="shared" si="0"/>
        <v>2.22 (0.18-27.73)</v>
      </c>
      <c r="K19" t="s">
        <v>128</v>
      </c>
      <c r="L19">
        <v>2.78150844562929</v>
      </c>
      <c r="M19">
        <v>3.646358983476</v>
      </c>
      <c r="N19">
        <v>3.37413601284217</v>
      </c>
      <c r="O19">
        <v>10.3951532089739</v>
      </c>
      <c r="P19">
        <v>4</v>
      </c>
      <c r="Q19">
        <v>3.4272285337082799E-2</v>
      </c>
      <c r="R19" t="s">
        <v>129</v>
      </c>
    </row>
    <row r="20" spans="1:18" x14ac:dyDescent="0.3">
      <c r="A20" t="s">
        <v>69</v>
      </c>
      <c r="B20">
        <v>-0.26020137110580399</v>
      </c>
      <c r="C20">
        <v>0.70540954655786103</v>
      </c>
      <c r="D20">
        <v>-0.36886567863376901</v>
      </c>
      <c r="E20">
        <v>0.71222784663995697</v>
      </c>
      <c r="F20" t="s">
        <v>132</v>
      </c>
      <c r="G20">
        <v>0.77089633392524703</v>
      </c>
      <c r="H20">
        <v>0.19343686818463901</v>
      </c>
      <c r="I20">
        <v>3.0722228044559499</v>
      </c>
      <c r="J20" t="str">
        <f t="shared" si="0"/>
        <v>0.77 (0.19-3.07)</v>
      </c>
      <c r="K20" t="s">
        <v>128</v>
      </c>
      <c r="L20">
        <v>2.78150844562929</v>
      </c>
      <c r="M20">
        <v>3.646358983476</v>
      </c>
      <c r="N20">
        <v>1.6813609369777101</v>
      </c>
      <c r="O20">
        <v>10.3951532089739</v>
      </c>
      <c r="P20">
        <v>4</v>
      </c>
      <c r="Q20">
        <v>3.4272285337082799E-2</v>
      </c>
      <c r="R20" t="s">
        <v>129</v>
      </c>
    </row>
    <row r="21" spans="1:18" x14ac:dyDescent="0.3">
      <c r="A21" t="s">
        <v>70</v>
      </c>
      <c r="B21">
        <v>5.8611182091512899E-2</v>
      </c>
      <c r="C21">
        <v>0.32654978766084197</v>
      </c>
      <c r="D21">
        <v>0.179486204879689</v>
      </c>
      <c r="E21">
        <v>0.85755594835428295</v>
      </c>
      <c r="F21" t="s">
        <v>133</v>
      </c>
      <c r="G21">
        <v>1.0603628725029499</v>
      </c>
      <c r="H21">
        <v>0.55910029589022303</v>
      </c>
      <c r="I21">
        <v>2.0110334937176999</v>
      </c>
      <c r="J21" t="str">
        <f t="shared" si="0"/>
        <v>1.06 (0.56-2.01)</v>
      </c>
      <c r="K21" t="s">
        <v>134</v>
      </c>
      <c r="L21">
        <v>1.5214620933633201</v>
      </c>
      <c r="M21">
        <v>1.7946704814244601</v>
      </c>
      <c r="N21">
        <v>1.3306710443568699</v>
      </c>
      <c r="O21">
        <v>24.378070129285302</v>
      </c>
      <c r="P21">
        <v>4</v>
      </c>
      <c r="Q21">
        <v>6.7078347426385604E-5</v>
      </c>
      <c r="R21" t="s">
        <v>135</v>
      </c>
    </row>
    <row r="22" spans="1:18" x14ac:dyDescent="0.3">
      <c r="A22" t="s">
        <v>71</v>
      </c>
      <c r="B22">
        <v>-0.27698527905875903</v>
      </c>
      <c r="C22">
        <v>0.40471837602870497</v>
      </c>
      <c r="D22">
        <v>-0.68439017219004095</v>
      </c>
      <c r="E22">
        <v>0.49372882021710102</v>
      </c>
      <c r="F22" t="s">
        <v>136</v>
      </c>
      <c r="G22">
        <v>0.758065656468355</v>
      </c>
      <c r="H22">
        <v>0.34292850421164001</v>
      </c>
      <c r="I22">
        <v>1.67575320353697</v>
      </c>
      <c r="J22" t="str">
        <f t="shared" si="0"/>
        <v>0.76 (0.34-1.68)</v>
      </c>
      <c r="K22" t="s">
        <v>134</v>
      </c>
      <c r="L22">
        <v>1.5214620933633201</v>
      </c>
      <c r="M22">
        <v>1.7946704814244601</v>
      </c>
      <c r="N22">
        <v>1.7946704814244601</v>
      </c>
      <c r="O22">
        <v>24.378070129285302</v>
      </c>
      <c r="P22">
        <v>4</v>
      </c>
      <c r="Q22">
        <v>6.7078347426385604E-5</v>
      </c>
      <c r="R22" t="s">
        <v>135</v>
      </c>
    </row>
    <row r="23" spans="1:18" x14ac:dyDescent="0.3">
      <c r="A23" t="s">
        <v>72</v>
      </c>
      <c r="B23">
        <v>0.78714779913673505</v>
      </c>
      <c r="C23">
        <v>0.50714001998632297</v>
      </c>
      <c r="D23">
        <v>1.5521311040646399</v>
      </c>
      <c r="E23">
        <v>0.120630856924362</v>
      </c>
      <c r="F23" t="s">
        <v>137</v>
      </c>
      <c r="G23">
        <v>2.1971208509218898</v>
      </c>
      <c r="H23">
        <v>0.81314434421275905</v>
      </c>
      <c r="I23">
        <v>5.93663359760472</v>
      </c>
      <c r="J23" t="str">
        <f t="shared" si="0"/>
        <v>2.2 (0.81-5.94)</v>
      </c>
      <c r="K23" t="s">
        <v>134</v>
      </c>
      <c r="L23">
        <v>1.5214620933633201</v>
      </c>
      <c r="M23">
        <v>1.7946704814244601</v>
      </c>
      <c r="N23">
        <v>1.46805894608529</v>
      </c>
      <c r="O23">
        <v>24.378070129285302</v>
      </c>
      <c r="P23">
        <v>4</v>
      </c>
      <c r="Q23">
        <v>6.7078347426385604E-5</v>
      </c>
      <c r="R23" t="s">
        <v>135</v>
      </c>
    </row>
    <row r="24" spans="1:18" x14ac:dyDescent="0.3">
      <c r="A24" t="s">
        <v>73</v>
      </c>
      <c r="B24">
        <v>1.81624143015815</v>
      </c>
      <c r="C24">
        <v>0.42906769493311397</v>
      </c>
      <c r="D24">
        <v>4.2329950532427798</v>
      </c>
      <c r="E24">
        <v>2.3059957916427899E-5</v>
      </c>
      <c r="F24" t="s">
        <v>138</v>
      </c>
      <c r="G24">
        <v>6.1487046287301501</v>
      </c>
      <c r="H24">
        <v>2.6518798028543999</v>
      </c>
      <c r="I24">
        <v>14.2565166681664</v>
      </c>
      <c r="J24" t="str">
        <f t="shared" si="0"/>
        <v>6.15 (2.65-14.26)</v>
      </c>
      <c r="K24" t="s">
        <v>134</v>
      </c>
      <c r="L24">
        <v>1.5214620933633201</v>
      </c>
      <c r="M24">
        <v>1.7946704814244601</v>
      </c>
      <c r="N24">
        <v>1.4924479015866701</v>
      </c>
      <c r="O24">
        <v>24.378070129285302</v>
      </c>
      <c r="P24">
        <v>4</v>
      </c>
      <c r="Q24">
        <v>6.7078347426385604E-5</v>
      </c>
      <c r="R24" t="s">
        <v>135</v>
      </c>
    </row>
    <row r="25" spans="1:18" x14ac:dyDescent="0.3">
      <c r="A25" t="s">
        <v>74</v>
      </c>
      <c r="B25">
        <v>-0.14887493660940601</v>
      </c>
      <c r="C25">
        <v>0.63107858751770296</v>
      </c>
      <c r="D25">
        <v>-0.235905542596515</v>
      </c>
      <c r="E25">
        <v>0.81350596725425595</v>
      </c>
      <c r="F25" t="s">
        <v>139</v>
      </c>
      <c r="G25">
        <v>0.86167687239181701</v>
      </c>
      <c r="H25">
        <v>0.250126380177084</v>
      </c>
      <c r="I25">
        <v>2.96844751796784</v>
      </c>
      <c r="J25" t="str">
        <f t="shared" si="0"/>
        <v>0.86 (0.25-2.97)</v>
      </c>
      <c r="K25" t="s">
        <v>140</v>
      </c>
      <c r="L25">
        <v>5.9134450393382796</v>
      </c>
      <c r="M25">
        <v>11.4650286288582</v>
      </c>
      <c r="N25">
        <v>6.6274263622753997</v>
      </c>
      <c r="O25">
        <v>35.292079916950797</v>
      </c>
      <c r="P25">
        <v>4</v>
      </c>
      <c r="Q25">
        <v>4.0458411677371599E-7</v>
      </c>
      <c r="R25" t="s">
        <v>141</v>
      </c>
    </row>
    <row r="26" spans="1:18" x14ac:dyDescent="0.3">
      <c r="A26" t="s">
        <v>75</v>
      </c>
      <c r="B26">
        <v>1.67308225538554</v>
      </c>
      <c r="C26">
        <v>0.84813766719649897</v>
      </c>
      <c r="D26">
        <v>1.97265411040625</v>
      </c>
      <c r="E26">
        <v>4.8534983587482601E-2</v>
      </c>
      <c r="F26" t="s">
        <v>142</v>
      </c>
      <c r="G26">
        <v>5.3285665145176102</v>
      </c>
      <c r="H26">
        <v>1.01079022677215</v>
      </c>
      <c r="I26">
        <v>28.0905180398412</v>
      </c>
      <c r="J26" t="str">
        <f t="shared" si="0"/>
        <v>5.33 (1.01-28.09)</v>
      </c>
      <c r="K26" t="s">
        <v>140</v>
      </c>
      <c r="L26">
        <v>5.9134450393382796</v>
      </c>
      <c r="M26">
        <v>11.4650286288582</v>
      </c>
      <c r="N26">
        <v>3.37765583923618</v>
      </c>
      <c r="O26">
        <v>35.292079916950797</v>
      </c>
      <c r="P26">
        <v>4</v>
      </c>
      <c r="Q26">
        <v>4.0458411677371599E-7</v>
      </c>
      <c r="R26" t="s">
        <v>141</v>
      </c>
    </row>
    <row r="27" spans="1:18" x14ac:dyDescent="0.3">
      <c r="A27" t="s">
        <v>76</v>
      </c>
      <c r="B27">
        <v>1.97898180885553</v>
      </c>
      <c r="C27">
        <v>1.87623680372984</v>
      </c>
      <c r="D27">
        <v>1.0547612140010501</v>
      </c>
      <c r="E27">
        <v>0.29153454754731201</v>
      </c>
      <c r="F27" t="s">
        <v>143</v>
      </c>
      <c r="G27">
        <v>7.2353722414416</v>
      </c>
      <c r="H27">
        <v>0.18296830708718601</v>
      </c>
      <c r="I27">
        <v>286.11846666580499</v>
      </c>
      <c r="J27" t="str">
        <f t="shared" si="0"/>
        <v>7.24 (0.18-286.12)</v>
      </c>
      <c r="K27" t="s">
        <v>140</v>
      </c>
      <c r="L27">
        <v>5.9134450393382796</v>
      </c>
      <c r="M27">
        <v>11.4650286288582</v>
      </c>
      <c r="N27">
        <v>11.4650286288582</v>
      </c>
      <c r="O27">
        <v>35.292079916950797</v>
      </c>
      <c r="P27">
        <v>4</v>
      </c>
      <c r="Q27">
        <v>4.0458411677371599E-7</v>
      </c>
      <c r="R27" t="s">
        <v>141</v>
      </c>
    </row>
    <row r="28" spans="1:18" x14ac:dyDescent="0.3">
      <c r="A28" t="s">
        <v>77</v>
      </c>
      <c r="B28">
        <v>4.8008562152639902</v>
      </c>
      <c r="C28">
        <v>2.8947236214399199</v>
      </c>
      <c r="D28">
        <v>1.6584851761688799</v>
      </c>
      <c r="E28">
        <v>9.7219577146333003E-2</v>
      </c>
      <c r="F28" t="s">
        <v>144</v>
      </c>
      <c r="G28">
        <v>121.614501145584</v>
      </c>
      <c r="H28">
        <v>0.41777925553398998</v>
      </c>
      <c r="I28">
        <v>35401.678501210299</v>
      </c>
      <c r="J28" t="str">
        <f t="shared" si="0"/>
        <v>121.61 (0.42-35401.68)</v>
      </c>
      <c r="K28" t="s">
        <v>140</v>
      </c>
      <c r="L28">
        <v>5.9134450393382796</v>
      </c>
      <c r="M28">
        <v>11.4650286288582</v>
      </c>
      <c r="N28">
        <v>2.18366932698334</v>
      </c>
      <c r="O28">
        <v>35.292079916950797</v>
      </c>
      <c r="P28">
        <v>4</v>
      </c>
      <c r="Q28">
        <v>4.0458411677371599E-7</v>
      </c>
      <c r="R28" t="s">
        <v>141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145</v>
      </c>
    </row>
    <row r="2" spans="1:1" x14ac:dyDescent="0.3">
      <c r="A2" t="s">
        <v>146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2025-10-13T07:06:52Z</dcterms:created>
  <dcterms:modified xsi:type="dcterms:W3CDTF">2025-10-22T07:28:57Z</dcterms:modified>
</cp:coreProperties>
</file>