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iced\Desktop\TBI_risk_factor_R\Final_Model\12Month\Clinical\Original\"/>
    </mc:Choice>
  </mc:AlternateContent>
  <xr:revisionPtr revIDLastSave="0" documentId="13_ncr:1_{31E58B36-E250-4D31-8154-8AFF4DA86799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Model_Info" sheetId="1" r:id="rId1"/>
    <sheet name="Split_Info" sheetId="2" r:id="rId2"/>
    <sheet name="Train_Metrics" sheetId="3" r:id="rId3"/>
    <sheet name="Calibration_Stats_Train" sheetId="4" r:id="rId4"/>
    <sheet name="Coefficients" sheetId="5" r:id="rId5"/>
    <sheet name="Variable_Summary" sheetId="6" r:id="rId6"/>
    <sheet name="Calibration_Plot_Train" sheetId="7" r:id="rId7"/>
    <sheet name="Specs_J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2" i="6"/>
</calcChain>
</file>

<file path=xl/sharedStrings.xml><?xml version="1.0" encoding="utf-8"?>
<sst xmlns="http://schemas.openxmlformats.org/spreadsheetml/2006/main" count="133" uniqueCount="96">
  <si>
    <t>Item</t>
  </si>
  <si>
    <t>Value</t>
  </si>
  <si>
    <t>Formula</t>
  </si>
  <si>
    <t>GOSE_12_Unfav ~ Age + arr_status + Upper_Lower_Extremities_imputed + arr_pp_size + arr_pp_prompt + head_neck_AIS</t>
  </si>
  <si>
    <t>N_total</t>
  </si>
  <si>
    <t>1827</t>
  </si>
  <si>
    <t>Pos_Level</t>
  </si>
  <si>
    <t>1</t>
  </si>
  <si>
    <t>Penalty</t>
  </si>
  <si>
    <t>lasso</t>
  </si>
  <si>
    <t>Alpha</t>
  </si>
  <si>
    <t>Lambda_Chosen</t>
  </si>
  <si>
    <t>0.025</t>
  </si>
  <si>
    <t>Use_CV</t>
  </si>
  <si>
    <t>FALSE</t>
  </si>
  <si>
    <t>Choose</t>
  </si>
  <si>
    <t>nfolds</t>
  </si>
  <si>
    <t>Threshold</t>
  </si>
  <si>
    <t>0.5</t>
  </si>
  <si>
    <t>Standardize</t>
  </si>
  <si>
    <t>TRUE</t>
  </si>
  <si>
    <t>Train_Test</t>
  </si>
  <si>
    <t>Test_Prop</t>
  </si>
  <si>
    <t>Split_Seed</t>
  </si>
  <si>
    <t>Set</t>
  </si>
  <si>
    <t>N</t>
  </si>
  <si>
    <t>Events</t>
  </si>
  <si>
    <t>All</t>
  </si>
  <si>
    <t>Metric</t>
  </si>
  <si>
    <t>AUROC</t>
  </si>
  <si>
    <t>Accuracy</t>
  </si>
  <si>
    <t>Recall</t>
  </si>
  <si>
    <t>Precision</t>
  </si>
  <si>
    <t>F1</t>
  </si>
  <si>
    <t>PseudoR2</t>
  </si>
  <si>
    <t>AIC_like</t>
  </si>
  <si>
    <t>Brier</t>
  </si>
  <si>
    <t>Term</t>
  </si>
  <si>
    <t>Estimate</t>
  </si>
  <si>
    <t>SE</t>
  </si>
  <si>
    <t>Z</t>
  </si>
  <si>
    <t>P_value</t>
  </si>
  <si>
    <t>CI_lower</t>
  </si>
  <si>
    <t>CI_upper</t>
  </si>
  <si>
    <t>CITL (Intercept w/ offset)</t>
  </si>
  <si>
    <t>Calibration slope</t>
  </si>
  <si>
    <t>Lambda</t>
  </si>
  <si>
    <t>Feature</t>
  </si>
  <si>
    <t>Coef</t>
  </si>
  <si>
    <t>lambda=0.025</t>
  </si>
  <si>
    <t>(Intercept)</t>
  </si>
  <si>
    <t>Age</t>
  </si>
  <si>
    <t>arr_statusComa</t>
  </si>
  <si>
    <t>arr_statusDrowsy</t>
  </si>
  <si>
    <t>arr_statusSemicoma</t>
  </si>
  <si>
    <t>arr_statusStupor</t>
  </si>
  <si>
    <t>Upper_Lower_Extremities_imputedBoth Bilateral</t>
  </si>
  <si>
    <t>arr_pp_sizebilaterally mydriatic</t>
  </si>
  <si>
    <t>arr_pp_promptbilateral absence</t>
  </si>
  <si>
    <t>head_neck_AIS4</t>
  </si>
  <si>
    <t>head_neck_AIS5</t>
  </si>
  <si>
    <t>Variable</t>
  </si>
  <si>
    <t>Coefficient</t>
  </si>
  <si>
    <t>Std_Error</t>
  </si>
  <si>
    <t>Z_value</t>
  </si>
  <si>
    <t>P_value_str</t>
  </si>
  <si>
    <t>OR</t>
  </si>
  <si>
    <t>Original</t>
  </si>
  <si>
    <t>Avg_VIF</t>
  </si>
  <si>
    <t>Max_VIF</t>
  </si>
  <si>
    <t>VIF_raw</t>
  </si>
  <si>
    <t>LR_stat</t>
  </si>
  <si>
    <t>df_diff</t>
  </si>
  <si>
    <t>LR_pvalue</t>
  </si>
  <si>
    <t>LR_pvalue_str</t>
  </si>
  <si>
    <t>&lt; 1e-16</t>
  </si>
  <si>
    <t>6.23e-10</t>
  </si>
  <si>
    <t>arr_status</t>
  </si>
  <si>
    <t>4.22e-16</t>
  </si>
  <si>
    <t>0.000176</t>
  </si>
  <si>
    <t>2.99e-15</t>
  </si>
  <si>
    <t>2.01e-10</t>
  </si>
  <si>
    <t>1.61e-10</t>
  </si>
  <si>
    <t>Upper_Lower_Extremities_imputed</t>
  </si>
  <si>
    <t>6.35e-11</t>
  </si>
  <si>
    <t>0.00944</t>
  </si>
  <si>
    <t>arr_pp_size</t>
  </si>
  <si>
    <t>0.00523</t>
  </si>
  <si>
    <t>1.09e-05</t>
  </si>
  <si>
    <t>arr_pp_prompt</t>
  </si>
  <si>
    <t>7.04e-06</t>
  </si>
  <si>
    <t>0.000256</t>
  </si>
  <si>
    <t>head_neck_AIS</t>
  </si>
  <si>
    <t>JSON</t>
  </si>
  <si>
    <t>{"formula":"GOSE_12_Unfav ~ Age + arr_status + Upper_Lower_Extremities_imputed + arr_pp_size + arr_pp_prompt + head_neck_AIS","penalty":"lasso","alpha":1,"lambda":0.025,"x_names":["Age","arr_statusComa","arr_statusDrowsy","arr_statusSemicoma","arr_statusStupor","Upper_Lower_Extremities_imputedBoth Bilateral","arr_pp_sizebilaterally mydriatic","arr_pp_promptbilateral absence","head_neck_AIS4","head_neck_AIS5"],"train_test":false,"test_prop":{},"split_seed":{},"standardize":true,"threshold":0.5,"family":"binomial","link":"logit"}</t>
  </si>
  <si>
    <t>OR (95%CI)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</si>
</sst>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8"/>
      <name val="돋움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486400" cy="457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workbookViewId="0"/>
  </sheetViews>
  <sheetFormatPr defaultColWidth="11.5546875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</row>
    <row r="10" spans="1:2" x14ac:dyDescent="0.3">
      <c r="A10" t="s">
        <v>16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20</v>
      </c>
    </row>
    <row r="13" spans="1:2" x14ac:dyDescent="0.3">
      <c r="A13" t="s">
        <v>21</v>
      </c>
      <c r="B13" t="s">
        <v>14</v>
      </c>
    </row>
    <row r="14" spans="1:2" x14ac:dyDescent="0.3">
      <c r="A14" t="s">
        <v>22</v>
      </c>
    </row>
    <row r="15" spans="1:2" x14ac:dyDescent="0.3">
      <c r="A15" t="s">
        <v>23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ColWidth="11.5546875" defaultRowHeight="14.4" x14ac:dyDescent="0.3"/>
  <sheetData>
    <row r="1" spans="1:3" x14ac:dyDescent="0.3">
      <c r="A1" t="s">
        <v>24</v>
      </c>
      <c r="B1" t="s">
        <v>25</v>
      </c>
      <c r="C1" t="s">
        <v>26</v>
      </c>
    </row>
    <row r="2" spans="1:3" x14ac:dyDescent="0.3">
      <c r="A2" t="s">
        <v>27</v>
      </c>
      <c r="B2">
        <v>1827</v>
      </c>
      <c r="C2">
        <v>720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2" x14ac:dyDescent="0.3">
      <c r="A1" t="s">
        <v>28</v>
      </c>
      <c r="B1" t="s">
        <v>1</v>
      </c>
    </row>
    <row r="2" spans="1:2" x14ac:dyDescent="0.3">
      <c r="A2" t="s">
        <v>29</v>
      </c>
      <c r="B2">
        <v>0.90110000000000001</v>
      </c>
    </row>
    <row r="3" spans="1:2" x14ac:dyDescent="0.3">
      <c r="A3" t="s">
        <v>30</v>
      </c>
      <c r="B3">
        <v>0.82699999999999996</v>
      </c>
    </row>
    <row r="4" spans="1:2" x14ac:dyDescent="0.3">
      <c r="A4" t="s">
        <v>31</v>
      </c>
      <c r="B4">
        <v>0.6764</v>
      </c>
    </row>
    <row r="5" spans="1:2" x14ac:dyDescent="0.3">
      <c r="A5" t="s">
        <v>32</v>
      </c>
      <c r="B5">
        <v>0.85440000000000005</v>
      </c>
    </row>
    <row r="6" spans="1:2" x14ac:dyDescent="0.3">
      <c r="A6" t="s">
        <v>33</v>
      </c>
      <c r="B6">
        <v>0.755</v>
      </c>
    </row>
    <row r="7" spans="1:2" x14ac:dyDescent="0.3">
      <c r="A7" t="s">
        <v>34</v>
      </c>
      <c r="B7">
        <v>0.41310000000000002</v>
      </c>
    </row>
    <row r="8" spans="1:2" x14ac:dyDescent="0.3">
      <c r="A8" t="s">
        <v>35</v>
      </c>
      <c r="B8">
        <v>1458.0419999999999</v>
      </c>
    </row>
    <row r="9" spans="1:2" x14ac:dyDescent="0.3">
      <c r="A9" t="s">
        <v>36</v>
      </c>
      <c r="B9">
        <v>0.12189999999999999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7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3">
      <c r="A2" t="s">
        <v>44</v>
      </c>
      <c r="B2">
        <v>-3.7598337325082198E-9</v>
      </c>
      <c r="C2">
        <v>6.09761872596064E-2</v>
      </c>
      <c r="D2">
        <v>-6.1660689221198997E-8</v>
      </c>
      <c r="E2">
        <v>0.99999995080188797</v>
      </c>
      <c r="F2">
        <v>-0.119513330788662</v>
      </c>
      <c r="G2">
        <v>0.119513323268995</v>
      </c>
    </row>
    <row r="3" spans="1:7" x14ac:dyDescent="0.3">
      <c r="A3" t="s">
        <v>45</v>
      </c>
      <c r="B3">
        <v>1.3345249288324399</v>
      </c>
      <c r="C3">
        <v>5.9684101160822997E-2</v>
      </c>
      <c r="D3">
        <v>22.359806093694299</v>
      </c>
      <c r="E3">
        <v>9.6932955645180707E-111</v>
      </c>
      <c r="F3">
        <v>1.2175440905572299</v>
      </c>
      <c r="G3">
        <v>1.4515057671076499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2"/>
  <sheetViews>
    <sheetView workbookViewId="0">
      <pane ySplit="1" topLeftCell="A2" activePane="bottomLeft" state="frozen"/>
      <selection pane="bottomLeft"/>
    </sheetView>
  </sheetViews>
  <sheetFormatPr defaultColWidth="11.5546875" defaultRowHeight="14.4" x14ac:dyDescent="0.3"/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49</v>
      </c>
      <c r="B2" t="s">
        <v>50</v>
      </c>
      <c r="C2">
        <v>-3.09172868807519</v>
      </c>
    </row>
    <row r="3" spans="1:3" x14ac:dyDescent="0.3">
      <c r="A3" t="s">
        <v>49</v>
      </c>
      <c r="B3" t="s">
        <v>51</v>
      </c>
      <c r="C3">
        <v>2.22205776815394E-2</v>
      </c>
    </row>
    <row r="4" spans="1:3" x14ac:dyDescent="0.3">
      <c r="A4" t="s">
        <v>49</v>
      </c>
      <c r="B4" t="s">
        <v>52</v>
      </c>
      <c r="C4">
        <v>0.64285385065683098</v>
      </c>
    </row>
    <row r="5" spans="1:3" x14ac:dyDescent="0.3">
      <c r="A5" t="s">
        <v>49</v>
      </c>
      <c r="B5" t="s">
        <v>53</v>
      </c>
      <c r="C5">
        <v>0</v>
      </c>
    </row>
    <row r="6" spans="1:3" x14ac:dyDescent="0.3">
      <c r="A6" t="s">
        <v>49</v>
      </c>
      <c r="B6" t="s">
        <v>54</v>
      </c>
      <c r="C6">
        <v>0.61151103057284395</v>
      </c>
    </row>
    <row r="7" spans="1:3" x14ac:dyDescent="0.3">
      <c r="A7" t="s">
        <v>49</v>
      </c>
      <c r="B7" t="s">
        <v>55</v>
      </c>
      <c r="C7">
        <v>0.223188799517788</v>
      </c>
    </row>
    <row r="8" spans="1:3" x14ac:dyDescent="0.3">
      <c r="A8" t="s">
        <v>49</v>
      </c>
      <c r="B8" t="s">
        <v>56</v>
      </c>
      <c r="C8">
        <v>1.5437274783153501</v>
      </c>
    </row>
    <row r="9" spans="1:3" x14ac:dyDescent="0.3">
      <c r="A9" t="s">
        <v>49</v>
      </c>
      <c r="B9" t="s">
        <v>57</v>
      </c>
      <c r="C9">
        <v>0.108713518513292</v>
      </c>
    </row>
    <row r="10" spans="1:3" x14ac:dyDescent="0.3">
      <c r="A10" t="s">
        <v>49</v>
      </c>
      <c r="B10" t="s">
        <v>58</v>
      </c>
      <c r="C10">
        <v>0.99443476263978503</v>
      </c>
    </row>
    <row r="11" spans="1:3" x14ac:dyDescent="0.3">
      <c r="A11" t="s">
        <v>49</v>
      </c>
      <c r="B11" t="s">
        <v>59</v>
      </c>
      <c r="C11">
        <v>0.113475637993611</v>
      </c>
    </row>
    <row r="12" spans="1:3" x14ac:dyDescent="0.3">
      <c r="A12" t="s">
        <v>49</v>
      </c>
      <c r="B12" t="s">
        <v>60</v>
      </c>
      <c r="C12">
        <v>1.18017535727533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1"/>
  <sheetViews>
    <sheetView tabSelected="1" workbookViewId="0">
      <pane ySplit="1" topLeftCell="A2" activePane="bottomLeft" state="frozen"/>
      <selection pane="bottomLeft" activeCell="R8" sqref="R8"/>
    </sheetView>
  </sheetViews>
  <sheetFormatPr defaultColWidth="11.5546875" defaultRowHeight="14.4" x14ac:dyDescent="0.3"/>
  <sheetData>
    <row r="1" spans="1:18" x14ac:dyDescent="0.3">
      <c r="A1" t="s">
        <v>61</v>
      </c>
      <c r="B1" t="s">
        <v>62</v>
      </c>
      <c r="C1" t="s">
        <v>63</v>
      </c>
      <c r="D1" t="s">
        <v>64</v>
      </c>
      <c r="E1" t="s">
        <v>41</v>
      </c>
      <c r="F1" t="s">
        <v>65</v>
      </c>
      <c r="G1" t="s">
        <v>66</v>
      </c>
      <c r="H1" t="s">
        <v>42</v>
      </c>
      <c r="I1" t="s">
        <v>43</v>
      </c>
      <c r="J1" t="s">
        <v>95</v>
      </c>
      <c r="K1" t="s">
        <v>67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</row>
    <row r="2" spans="1:18" x14ac:dyDescent="0.3">
      <c r="A2" t="s">
        <v>51</v>
      </c>
      <c r="B2">
        <v>4.4577615140531199E-2</v>
      </c>
      <c r="C2">
        <v>4.4044060354339696E-3</v>
      </c>
      <c r="D2">
        <v>10.121141144095001</v>
      </c>
      <c r="E2">
        <v>4.4519441454536999E-24</v>
      </c>
      <c r="F2" t="s">
        <v>75</v>
      </c>
      <c r="G2">
        <v>1.0455861268753499</v>
      </c>
      <c r="H2">
        <v>1.0365988105411701</v>
      </c>
      <c r="I2">
        <v>1.0546513632824299</v>
      </c>
      <c r="J2" t="str">
        <f>_xlfn.CONCAT(ROUND(G2,2), " (",ROUND(H2,2),"-",ROUND(I2,2),")")</f>
        <v>1.05 (1.04-1.05)</v>
      </c>
      <c r="K2" t="s">
        <v>51</v>
      </c>
      <c r="L2">
        <v>1.0445485755600901</v>
      </c>
      <c r="M2">
        <v>1.0445485755600901</v>
      </c>
      <c r="N2">
        <v>1.0445485755600901</v>
      </c>
      <c r="O2">
        <v>117.72991953277899</v>
      </c>
      <c r="P2">
        <v>1</v>
      </c>
      <c r="Q2">
        <v>1.9868073854081702E-27</v>
      </c>
      <c r="R2" t="s">
        <v>75</v>
      </c>
    </row>
    <row r="3" spans="1:18" x14ac:dyDescent="0.3">
      <c r="A3" t="s">
        <v>52</v>
      </c>
      <c r="B3">
        <v>2.4673202235961198</v>
      </c>
      <c r="C3">
        <v>0.39894439254172598</v>
      </c>
      <c r="D3">
        <v>6.1846218914784101</v>
      </c>
      <c r="E3">
        <v>6.2251496916619498E-10</v>
      </c>
      <c r="F3" t="s">
        <v>76</v>
      </c>
      <c r="G3">
        <v>11.790807749331</v>
      </c>
      <c r="H3">
        <v>5.3945501594004801</v>
      </c>
      <c r="I3">
        <v>25.771036189073801</v>
      </c>
      <c r="J3" t="str">
        <f t="shared" ref="J3:J11" si="0">_xlfn.CONCAT(ROUND(G3,2), " (",ROUND(H3,2),"-",ROUND(I3,2),")")</f>
        <v>11.79 (5.39-25.77)</v>
      </c>
      <c r="K3" t="s">
        <v>77</v>
      </c>
      <c r="L3">
        <v>2.17413450185893</v>
      </c>
      <c r="M3">
        <v>2.8883815340805898</v>
      </c>
      <c r="N3">
        <v>2.8883815340805898</v>
      </c>
      <c r="O3">
        <v>78.185341193013997</v>
      </c>
      <c r="P3">
        <v>4</v>
      </c>
      <c r="Q3">
        <v>4.2202080630058201E-16</v>
      </c>
      <c r="R3" t="s">
        <v>78</v>
      </c>
    </row>
    <row r="4" spans="1:18" x14ac:dyDescent="0.3">
      <c r="A4" t="s">
        <v>53</v>
      </c>
      <c r="B4">
        <v>0.85662290715176703</v>
      </c>
      <c r="C4">
        <v>0.22835540084644801</v>
      </c>
      <c r="D4">
        <v>3.7512706245462599</v>
      </c>
      <c r="E4">
        <v>1.7594066852644199E-4</v>
      </c>
      <c r="F4" t="s">
        <v>79</v>
      </c>
      <c r="G4">
        <v>2.3551935411068401</v>
      </c>
      <c r="H4">
        <v>1.50538145038646</v>
      </c>
      <c r="I4">
        <v>3.68473825331604</v>
      </c>
      <c r="J4" t="str">
        <f t="shared" si="0"/>
        <v>2.36 (1.51-3.68)</v>
      </c>
      <c r="K4" t="s">
        <v>77</v>
      </c>
      <c r="L4">
        <v>2.17413450185893</v>
      </c>
      <c r="M4">
        <v>2.8883815340805898</v>
      </c>
      <c r="N4">
        <v>1.56848079586191</v>
      </c>
      <c r="O4">
        <v>78.185341193013997</v>
      </c>
      <c r="P4">
        <v>4</v>
      </c>
      <c r="Q4">
        <v>4.2202080630058201E-16</v>
      </c>
      <c r="R4" t="s">
        <v>78</v>
      </c>
    </row>
    <row r="5" spans="1:18" x14ac:dyDescent="0.3">
      <c r="A5" t="s">
        <v>54</v>
      </c>
      <c r="B5">
        <v>2.1067748882005599</v>
      </c>
      <c r="C5">
        <v>0.26697539683577398</v>
      </c>
      <c r="D5">
        <v>7.8912698067699303</v>
      </c>
      <c r="E5">
        <v>2.9912716565829601E-15</v>
      </c>
      <c r="F5" t="s">
        <v>80</v>
      </c>
      <c r="G5">
        <v>8.2216826346631606</v>
      </c>
      <c r="H5">
        <v>4.87199308173982</v>
      </c>
      <c r="I5">
        <v>13.874417350564601</v>
      </c>
      <c r="J5" t="str">
        <f t="shared" si="0"/>
        <v>8.22 (4.87-13.87)</v>
      </c>
      <c r="K5" t="s">
        <v>77</v>
      </c>
      <c r="L5">
        <v>2.17413450185893</v>
      </c>
      <c r="M5">
        <v>2.8883815340805898</v>
      </c>
      <c r="N5">
        <v>2.6370831630384299</v>
      </c>
      <c r="O5">
        <v>78.185341193013997</v>
      </c>
      <c r="P5">
        <v>4</v>
      </c>
      <c r="Q5">
        <v>4.2202080630058201E-16</v>
      </c>
      <c r="R5" t="s">
        <v>78</v>
      </c>
    </row>
    <row r="6" spans="1:18" x14ac:dyDescent="0.3">
      <c r="A6" t="s">
        <v>55</v>
      </c>
      <c r="B6">
        <v>1.5691703575988001</v>
      </c>
      <c r="C6">
        <v>0.246713663290723</v>
      </c>
      <c r="D6">
        <v>6.3602896437467002</v>
      </c>
      <c r="E6">
        <v>2.0137366039743701E-10</v>
      </c>
      <c r="F6" t="s">
        <v>81</v>
      </c>
      <c r="G6">
        <v>4.8026620483922198</v>
      </c>
      <c r="H6">
        <v>2.96125029925838</v>
      </c>
      <c r="I6">
        <v>7.78912973241186</v>
      </c>
      <c r="J6" t="str">
        <f t="shared" si="0"/>
        <v>4.8 (2.96-7.79)</v>
      </c>
      <c r="K6" t="s">
        <v>77</v>
      </c>
      <c r="L6">
        <v>2.17413450185893</v>
      </c>
      <c r="M6">
        <v>2.8883815340805898</v>
      </c>
      <c r="N6">
        <v>1.6025925144547799</v>
      </c>
      <c r="O6">
        <v>78.185341193013997</v>
      </c>
      <c r="P6">
        <v>4</v>
      </c>
      <c r="Q6">
        <v>4.2202080630058201E-16</v>
      </c>
      <c r="R6" t="s">
        <v>78</v>
      </c>
    </row>
    <row r="7" spans="1:18" x14ac:dyDescent="0.3">
      <c r="A7" t="s">
        <v>56</v>
      </c>
      <c r="B7">
        <v>1.3266668541817299</v>
      </c>
      <c r="C7">
        <v>0.20746782463577601</v>
      </c>
      <c r="D7">
        <v>6.3945667551620904</v>
      </c>
      <c r="E7">
        <v>1.61003199785304E-10</v>
      </c>
      <c r="F7" t="s">
        <v>82</v>
      </c>
      <c r="G7">
        <v>3.7684615987297398</v>
      </c>
      <c r="H7">
        <v>2.50936546374726</v>
      </c>
      <c r="I7">
        <v>5.6593202649301499</v>
      </c>
      <c r="J7" t="str">
        <f t="shared" si="0"/>
        <v>3.77 (2.51-5.66)</v>
      </c>
      <c r="K7" t="s">
        <v>83</v>
      </c>
      <c r="L7">
        <v>2.5480662189321599</v>
      </c>
      <c r="M7">
        <v>2.5480662189321599</v>
      </c>
      <c r="N7">
        <v>2.5480662189321599</v>
      </c>
      <c r="O7">
        <v>42.710537749488999</v>
      </c>
      <c r="P7">
        <v>1</v>
      </c>
      <c r="Q7">
        <v>6.3469453413384599E-11</v>
      </c>
      <c r="R7" t="s">
        <v>84</v>
      </c>
    </row>
    <row r="8" spans="1:18" x14ac:dyDescent="0.3">
      <c r="A8" t="s">
        <v>57</v>
      </c>
      <c r="B8">
        <v>1.21279466816244</v>
      </c>
      <c r="C8">
        <v>0.46723118823992199</v>
      </c>
      <c r="D8">
        <v>2.59570572061144</v>
      </c>
      <c r="E8">
        <v>9.4396874974391302E-3</v>
      </c>
      <c r="F8" t="s">
        <v>85</v>
      </c>
      <c r="G8">
        <v>3.3628696371914502</v>
      </c>
      <c r="H8">
        <v>1.3458442875615999</v>
      </c>
      <c r="I8">
        <v>8.4028236410867301</v>
      </c>
      <c r="J8" t="str">
        <f t="shared" si="0"/>
        <v>3.36 (1.35-8.4)</v>
      </c>
      <c r="K8" t="s">
        <v>86</v>
      </c>
      <c r="L8">
        <v>1.43994354044981</v>
      </c>
      <c r="M8">
        <v>1.43994354044981</v>
      </c>
      <c r="N8">
        <v>1.43994354044981</v>
      </c>
      <c r="O8">
        <v>7.7984903410192601</v>
      </c>
      <c r="P8">
        <v>1</v>
      </c>
      <c r="Q8">
        <v>5.2289903886348597E-3</v>
      </c>
      <c r="R8" t="s">
        <v>87</v>
      </c>
    </row>
    <row r="9" spans="1:18" x14ac:dyDescent="0.3">
      <c r="A9" t="s">
        <v>58</v>
      </c>
      <c r="B9">
        <v>0.98136745697553396</v>
      </c>
      <c r="C9">
        <v>0.223097197837583</v>
      </c>
      <c r="D9">
        <v>4.3988336316531402</v>
      </c>
      <c r="E9">
        <v>1.08834215772149E-5</v>
      </c>
      <c r="F9" t="s">
        <v>88</v>
      </c>
      <c r="G9">
        <v>2.6681022635241298</v>
      </c>
      <c r="H9">
        <v>1.72305167641903</v>
      </c>
      <c r="I9">
        <v>4.1314893720525596</v>
      </c>
      <c r="J9" t="str">
        <f t="shared" si="0"/>
        <v>2.67 (1.72-4.13)</v>
      </c>
      <c r="K9" t="s">
        <v>89</v>
      </c>
      <c r="L9">
        <v>1.97871156704797</v>
      </c>
      <c r="M9">
        <v>1.97871156704797</v>
      </c>
      <c r="N9">
        <v>1.97871156704797</v>
      </c>
      <c r="O9">
        <v>20.181126646294199</v>
      </c>
      <c r="P9">
        <v>1</v>
      </c>
      <c r="Q9">
        <v>7.0444546152079299E-6</v>
      </c>
      <c r="R9" t="s">
        <v>90</v>
      </c>
    </row>
    <row r="10" spans="1:18" x14ac:dyDescent="0.3">
      <c r="A10" t="s">
        <v>59</v>
      </c>
      <c r="B10">
        <v>0.71135725058247001</v>
      </c>
      <c r="C10">
        <v>0.194549397054047</v>
      </c>
      <c r="D10">
        <v>3.65643513346305</v>
      </c>
      <c r="E10">
        <v>2.5574708910617401E-4</v>
      </c>
      <c r="F10" t="s">
        <v>91</v>
      </c>
      <c r="G10">
        <v>2.03675376875244</v>
      </c>
      <c r="H10">
        <v>1.3910243697200599</v>
      </c>
      <c r="I10">
        <v>2.9822381295606699</v>
      </c>
      <c r="J10" t="str">
        <f t="shared" si="0"/>
        <v>2.04 (1.39-2.98)</v>
      </c>
      <c r="K10" t="s">
        <v>92</v>
      </c>
      <c r="L10">
        <v>1.66142985161568</v>
      </c>
      <c r="M10">
        <v>1.9253067929762899</v>
      </c>
      <c r="N10">
        <v>1.3975529102550801</v>
      </c>
      <c r="O10">
        <v>91.956769137499606</v>
      </c>
      <c r="P10">
        <v>2</v>
      </c>
      <c r="Q10">
        <v>1.07607191082814E-20</v>
      </c>
      <c r="R10" t="s">
        <v>75</v>
      </c>
    </row>
    <row r="11" spans="1:18" x14ac:dyDescent="0.3">
      <c r="A11" t="s">
        <v>60</v>
      </c>
      <c r="B11">
        <v>1.65462804351001</v>
      </c>
      <c r="C11">
        <v>0.18208910007029799</v>
      </c>
      <c r="D11">
        <v>9.0869142791699797</v>
      </c>
      <c r="E11">
        <v>1.01889662355835E-19</v>
      </c>
      <c r="F11" t="s">
        <v>75</v>
      </c>
      <c r="G11">
        <v>5.2311338060960502</v>
      </c>
      <c r="H11">
        <v>3.6609892851258001</v>
      </c>
      <c r="I11">
        <v>7.4746902451916402</v>
      </c>
      <c r="J11" t="str">
        <f t="shared" si="0"/>
        <v>5.23 (3.66-7.47)</v>
      </c>
      <c r="K11" t="s">
        <v>92</v>
      </c>
      <c r="L11">
        <v>1.66142985161568</v>
      </c>
      <c r="M11">
        <v>1.9253067929762899</v>
      </c>
      <c r="N11">
        <v>1.9253067929762899</v>
      </c>
      <c r="O11">
        <v>91.956769137499606</v>
      </c>
      <c r="P11">
        <v>2</v>
      </c>
      <c r="Q11">
        <v>1.07607191082814E-20</v>
      </c>
      <c r="R11" t="s">
        <v>75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ColWidth="11.5546875" defaultRowHeight="14.4" x14ac:dyDescent="0.3"/>
  <sheetData/>
  <phoneticPr fontId="1" type="noConversion"/>
  <pageMargins left="0.7" right="0.7" top="0.75" bottom="0.75" header="0.3" footer="0.3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defaultColWidth="11.5546875" defaultRowHeight="14.4" x14ac:dyDescent="0.3"/>
  <sheetData>
    <row r="1" spans="1:1" x14ac:dyDescent="0.3">
      <c r="A1" t="s">
        <v>93</v>
      </c>
    </row>
    <row r="2" spans="1:1" x14ac:dyDescent="0.3">
      <c r="A2" t="s">
        <v>94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Model_Info</vt:lpstr>
      <vt:lpstr>Split_Info</vt:lpstr>
      <vt:lpstr>Train_Metrics</vt:lpstr>
      <vt:lpstr>Calibration_Stats_Train</vt:lpstr>
      <vt:lpstr>Coefficients</vt:lpstr>
      <vt:lpstr>Variable_Summary</vt:lpstr>
      <vt:lpstr>Calibration_Plot_Train</vt:lpstr>
      <vt:lpstr>Specs_JSON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piggypiggy00700</dc:creator>
  <cp:lastModifiedBy>승훈 전</cp:lastModifiedBy>
  <dcterms:created xsi:type="dcterms:W3CDTF">2025-10-13T06:16:59Z</dcterms:created>
  <dcterms:modified xsi:type="dcterms:W3CDTF">2025-10-15T01:58:36Z</dcterms:modified>
</cp:coreProperties>
</file>