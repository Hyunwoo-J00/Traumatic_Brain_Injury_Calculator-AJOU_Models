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ced\Desktop\TBI_risk_factor_R\Final_Model\12Month\Clinical\Alternative\"/>
    </mc:Choice>
  </mc:AlternateContent>
  <xr:revisionPtr revIDLastSave="0" documentId="13_ncr:1_{C71F3B74-1822-4CBE-926A-6D16CE4C916F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odel_Info" sheetId="1" r:id="rId1"/>
    <sheet name="Split_Info" sheetId="2" r:id="rId2"/>
    <sheet name="Train_Metrics" sheetId="3" r:id="rId3"/>
    <sheet name="Calibration_Stats_Train" sheetId="4" r:id="rId4"/>
    <sheet name="Coefficients" sheetId="5" r:id="rId5"/>
    <sheet name="Variable_Summary" sheetId="6" r:id="rId6"/>
    <sheet name="Calibration_Plot_Train" sheetId="7" r:id="rId7"/>
    <sheet name="Specs_JS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6" l="1"/>
  <c r="J3" i="6"/>
  <c r="J4" i="6"/>
  <c r="J5" i="6"/>
  <c r="J6" i="6"/>
  <c r="J7" i="6"/>
</calcChain>
</file>

<file path=xl/sharedStrings.xml><?xml version="1.0" encoding="utf-8"?>
<sst xmlns="http://schemas.openxmlformats.org/spreadsheetml/2006/main" count="109" uniqueCount="83">
  <si>
    <t>Item</t>
  </si>
  <si>
    <t>Value</t>
  </si>
  <si>
    <t>Formula</t>
  </si>
  <si>
    <t>GOSE_12_Unfav ~ Age + arr_GCS_derived + arr_pp_size + arr_pp_prompt + head_neck_AIS</t>
  </si>
  <si>
    <t>N_total</t>
  </si>
  <si>
    <t>1827</t>
  </si>
  <si>
    <t>Pos_Level</t>
  </si>
  <si>
    <t>1</t>
  </si>
  <si>
    <t>Penalty</t>
  </si>
  <si>
    <t>lasso</t>
  </si>
  <si>
    <t>Alpha</t>
  </si>
  <si>
    <t>Lambda_Chosen</t>
  </si>
  <si>
    <t>0.025</t>
  </si>
  <si>
    <t>Use_CV</t>
  </si>
  <si>
    <t>FALSE</t>
  </si>
  <si>
    <t>Choose</t>
  </si>
  <si>
    <t>nfolds</t>
  </si>
  <si>
    <t>Threshold</t>
  </si>
  <si>
    <t>0.5</t>
  </si>
  <si>
    <t>Standardize</t>
  </si>
  <si>
    <t>TRUE</t>
  </si>
  <si>
    <t>Train_Test</t>
  </si>
  <si>
    <t>Test_Prop</t>
  </si>
  <si>
    <t>Split_Seed</t>
  </si>
  <si>
    <t>Set</t>
  </si>
  <si>
    <t>N</t>
  </si>
  <si>
    <t>Events</t>
  </si>
  <si>
    <t>All</t>
  </si>
  <si>
    <t>Metric</t>
  </si>
  <si>
    <t>AUROC</t>
  </si>
  <si>
    <t>Accuracy</t>
  </si>
  <si>
    <t>Recall</t>
  </si>
  <si>
    <t>Precision</t>
  </si>
  <si>
    <t>F1</t>
  </si>
  <si>
    <t>PseudoR2</t>
  </si>
  <si>
    <t>AIC_like</t>
  </si>
  <si>
    <t>Brier</t>
  </si>
  <si>
    <t>Term</t>
  </si>
  <si>
    <t>Estimate</t>
  </si>
  <si>
    <t>SE</t>
  </si>
  <si>
    <t>Z</t>
  </si>
  <si>
    <t>P_value</t>
  </si>
  <si>
    <t>CI_lower</t>
  </si>
  <si>
    <t>CI_upper</t>
  </si>
  <si>
    <t>CITL (Intercept w/ offset)</t>
  </si>
  <si>
    <t>Calibration slope</t>
  </si>
  <si>
    <t>Lambda</t>
  </si>
  <si>
    <t>Feature</t>
  </si>
  <si>
    <t>Coef</t>
  </si>
  <si>
    <t>lambda=0.025</t>
  </si>
  <si>
    <t>(Intercept)</t>
  </si>
  <si>
    <t>Age</t>
  </si>
  <si>
    <t>arr_GCS_derived</t>
  </si>
  <si>
    <t>arr_pp_sizebilaterally mydriatic</t>
  </si>
  <si>
    <t>arr_pp_promptbilateral absence</t>
  </si>
  <si>
    <t>head_neck_AIS4</t>
  </si>
  <si>
    <t>head_neck_AIS5</t>
  </si>
  <si>
    <t>Variable</t>
  </si>
  <si>
    <t>Coefficient</t>
  </si>
  <si>
    <t>Std_Error</t>
  </si>
  <si>
    <t>Z_value</t>
  </si>
  <si>
    <t>P_value_str</t>
  </si>
  <si>
    <t>OR</t>
  </si>
  <si>
    <t>Original</t>
  </si>
  <si>
    <t>Avg_VIF</t>
  </si>
  <si>
    <t>Max_VIF</t>
  </si>
  <si>
    <t>VIF_raw</t>
  </si>
  <si>
    <t>LR_stat</t>
  </si>
  <si>
    <t>df_diff</t>
  </si>
  <si>
    <t>LR_pvalue</t>
  </si>
  <si>
    <t>LR_pvalue_str</t>
  </si>
  <si>
    <t>&lt; 1e-16</t>
  </si>
  <si>
    <t>0.00137</t>
  </si>
  <si>
    <t>arr_pp_size</t>
  </si>
  <si>
    <t>0.000368</t>
  </si>
  <si>
    <t>7.4e-09</t>
  </si>
  <si>
    <t>arr_pp_prompt</t>
  </si>
  <si>
    <t>1.71e-09</t>
  </si>
  <si>
    <t>5.55e-06</t>
  </si>
  <si>
    <t>head_neck_AIS</t>
  </si>
  <si>
    <t>JSON</t>
  </si>
  <si>
    <t>{"formula":"GOSE_12_Unfav ~ Age + arr_GCS_derived + arr_pp_size + arr_pp_prompt + head_neck_AIS","penalty":"lasso","alpha":1,"lambda":0.025,"x_names":["Age","arr_GCS_derived","arr_pp_sizebilaterally mydriatic","arr_pp_promptbilateral absence","head_neck_AIS4","head_neck_AIS5"],"train_test":false,"test_prop":{},"split_seed":{},"standardize":true,"threshold":0.5,"family":"binomial","link":"logit"}</t>
  </si>
  <si>
    <t>OR (95% CI)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</si>
</sst>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864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</row>
    <row r="10" spans="1:2" x14ac:dyDescent="0.3">
      <c r="A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14</v>
      </c>
    </row>
    <row r="14" spans="1:2" x14ac:dyDescent="0.3">
      <c r="A14" t="s">
        <v>22</v>
      </c>
    </row>
    <row r="15" spans="1:2" x14ac:dyDescent="0.3">
      <c r="A15" t="s">
        <v>23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ColWidth="11.5546875" defaultRowHeight="14.4" x14ac:dyDescent="0.3"/>
  <sheetData>
    <row r="1" spans="1:3" x14ac:dyDescent="0.3">
      <c r="A1" t="s">
        <v>24</v>
      </c>
      <c r="B1" t="s">
        <v>25</v>
      </c>
      <c r="C1" t="s">
        <v>26</v>
      </c>
    </row>
    <row r="2" spans="1:3" x14ac:dyDescent="0.3">
      <c r="A2" t="s">
        <v>27</v>
      </c>
      <c r="B2">
        <v>1827</v>
      </c>
      <c r="C2">
        <v>720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2" x14ac:dyDescent="0.3">
      <c r="A1" t="s">
        <v>28</v>
      </c>
      <c r="B1" t="s">
        <v>1</v>
      </c>
    </row>
    <row r="2" spans="1:2" x14ac:dyDescent="0.3">
      <c r="A2" t="s">
        <v>29</v>
      </c>
      <c r="B2">
        <v>0.89380000000000004</v>
      </c>
    </row>
    <row r="3" spans="1:2" x14ac:dyDescent="0.3">
      <c r="A3" t="s">
        <v>30</v>
      </c>
      <c r="B3">
        <v>0.81830000000000003</v>
      </c>
    </row>
    <row r="4" spans="1:2" x14ac:dyDescent="0.3">
      <c r="A4" t="s">
        <v>31</v>
      </c>
      <c r="B4">
        <v>0.70830000000000004</v>
      </c>
    </row>
    <row r="5" spans="1:2" x14ac:dyDescent="0.3">
      <c r="A5" t="s">
        <v>32</v>
      </c>
      <c r="B5">
        <v>0.80700000000000005</v>
      </c>
    </row>
    <row r="6" spans="1:2" x14ac:dyDescent="0.3">
      <c r="A6" t="s">
        <v>33</v>
      </c>
      <c r="B6">
        <v>0.75439999999999996</v>
      </c>
    </row>
    <row r="7" spans="1:2" x14ac:dyDescent="0.3">
      <c r="A7" t="s">
        <v>34</v>
      </c>
      <c r="B7">
        <v>0.39450000000000002</v>
      </c>
    </row>
    <row r="8" spans="1:2" x14ac:dyDescent="0.3">
      <c r="A8" t="s">
        <v>35</v>
      </c>
      <c r="B8">
        <v>1497.63</v>
      </c>
    </row>
    <row r="9" spans="1:2" x14ac:dyDescent="0.3">
      <c r="A9" t="s">
        <v>36</v>
      </c>
      <c r="B9">
        <v>0.1275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7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 x14ac:dyDescent="0.3">
      <c r="A2" t="s">
        <v>44</v>
      </c>
      <c r="B2">
        <v>-1.0422181195572299E-9</v>
      </c>
      <c r="C2">
        <v>6.0411410097366003E-2</v>
      </c>
      <c r="D2">
        <v>-1.7252007822321499E-8</v>
      </c>
      <c r="E2">
        <v>0.99999998623488895</v>
      </c>
      <c r="F2">
        <v>-0.118406364833055</v>
      </c>
      <c r="G2">
        <v>0.118406362748619</v>
      </c>
    </row>
    <row r="3" spans="1:7" x14ac:dyDescent="0.3">
      <c r="A3" t="s">
        <v>45</v>
      </c>
      <c r="B3">
        <v>1.28268088603563</v>
      </c>
      <c r="C3">
        <v>5.6289865764630298E-2</v>
      </c>
      <c r="D3">
        <v>22.7870659951299</v>
      </c>
      <c r="E3">
        <v>6.1607359730962003E-115</v>
      </c>
      <c r="F3">
        <v>1.1723527491369601</v>
      </c>
      <c r="G3">
        <v>1.3930090229343099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49</v>
      </c>
      <c r="B2" t="s">
        <v>50</v>
      </c>
      <c r="C2">
        <v>-0.69851885087402399</v>
      </c>
    </row>
    <row r="3" spans="1:3" x14ac:dyDescent="0.3">
      <c r="A3" t="s">
        <v>49</v>
      </c>
      <c r="B3" t="s">
        <v>51</v>
      </c>
      <c r="C3">
        <v>2.5639448449998801E-2</v>
      </c>
    </row>
    <row r="4" spans="1:3" x14ac:dyDescent="0.3">
      <c r="A4" t="s">
        <v>49</v>
      </c>
      <c r="B4" t="s">
        <v>52</v>
      </c>
      <c r="C4">
        <v>-0.19243097247249399</v>
      </c>
    </row>
    <row r="5" spans="1:3" x14ac:dyDescent="0.3">
      <c r="A5" t="s">
        <v>49</v>
      </c>
      <c r="B5" t="s">
        <v>53</v>
      </c>
      <c r="C5">
        <v>0.30220592454219902</v>
      </c>
    </row>
    <row r="6" spans="1:3" x14ac:dyDescent="0.3">
      <c r="A6" t="s">
        <v>49</v>
      </c>
      <c r="B6" t="s">
        <v>54</v>
      </c>
      <c r="C6">
        <v>1.0700920425487099</v>
      </c>
    </row>
    <row r="7" spans="1:3" x14ac:dyDescent="0.3">
      <c r="A7" t="s">
        <v>49</v>
      </c>
      <c r="B7" t="s">
        <v>55</v>
      </c>
      <c r="C7">
        <v>2.8897468797337199E-2</v>
      </c>
    </row>
    <row r="8" spans="1:3" x14ac:dyDescent="0.3">
      <c r="A8" t="s">
        <v>49</v>
      </c>
      <c r="B8" t="s">
        <v>56</v>
      </c>
      <c r="C8">
        <v>1.1225481603862599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7"/>
  <sheetViews>
    <sheetView tabSelected="1" workbookViewId="0">
      <pane xSplit="1" topLeftCell="B1" activePane="topRight" state="frozen"/>
      <selection pane="topRight" activeCell="J5" sqref="J5"/>
    </sheetView>
  </sheetViews>
  <sheetFormatPr defaultColWidth="11.5546875" defaultRowHeight="14.4" x14ac:dyDescent="0.3"/>
  <sheetData>
    <row r="1" spans="1:18" x14ac:dyDescent="0.3">
      <c r="A1" t="s">
        <v>57</v>
      </c>
      <c r="B1" t="s">
        <v>58</v>
      </c>
      <c r="C1" t="s">
        <v>59</v>
      </c>
      <c r="D1" t="s">
        <v>60</v>
      </c>
      <c r="E1" t="s">
        <v>41</v>
      </c>
      <c r="F1" t="s">
        <v>61</v>
      </c>
      <c r="G1" t="s">
        <v>62</v>
      </c>
      <c r="H1" t="s">
        <v>42</v>
      </c>
      <c r="I1" t="s">
        <v>43</v>
      </c>
      <c r="J1" t="s">
        <v>82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3">
      <c r="A2" t="s">
        <v>51</v>
      </c>
      <c r="B2">
        <v>4.23221322208421E-2</v>
      </c>
      <c r="C2">
        <v>4.1668240029528797E-3</v>
      </c>
      <c r="D2">
        <v>10.1569282001951</v>
      </c>
      <c r="E2">
        <v>3.08647789261402E-24</v>
      </c>
      <c r="F2" t="s">
        <v>71</v>
      </c>
      <c r="G2">
        <v>1.04323048278126</v>
      </c>
      <c r="H2">
        <v>1.0347451424068601</v>
      </c>
      <c r="I2">
        <v>1.0517854064746099</v>
      </c>
      <c r="J2" t="str">
        <f>_xlfn.CONCAT(ROUND(G2,3), " (", ROUND(H2,3), "-", ROUND(I2,3), ")")</f>
        <v>1.043 (1.035-1.052)</v>
      </c>
      <c r="K2" t="s">
        <v>51</v>
      </c>
      <c r="L2">
        <v>1.0296852043451401</v>
      </c>
      <c r="M2">
        <v>1.0296852043451401</v>
      </c>
      <c r="N2">
        <v>1.0296852043451401</v>
      </c>
      <c r="O2">
        <v>117.4257956678</v>
      </c>
      <c r="P2">
        <v>1</v>
      </c>
      <c r="Q2">
        <v>2.31604994335517E-27</v>
      </c>
      <c r="R2" t="s">
        <v>71</v>
      </c>
    </row>
    <row r="3" spans="1:18" x14ac:dyDescent="0.3">
      <c r="A3" t="s">
        <v>52</v>
      </c>
      <c r="B3">
        <v>-0.220230237267205</v>
      </c>
      <c r="C3">
        <v>1.80407622678063E-2</v>
      </c>
      <c r="D3">
        <v>-12.2073687352006</v>
      </c>
      <c r="E3">
        <v>2.8392355130468201E-34</v>
      </c>
      <c r="F3" t="s">
        <v>71</v>
      </c>
      <c r="G3">
        <v>0.802334049496362</v>
      </c>
      <c r="H3">
        <v>0.77445933037908699</v>
      </c>
      <c r="I3">
        <v>0.83121204914159796</v>
      </c>
      <c r="J3" t="str">
        <f t="shared" ref="J3:J7" si="0">_xlfn.CONCAT(ROUND(G3,2), " (", ROUND(H3,2), "-", ROUND(I3,2), ")")</f>
        <v>0.8 (0.77-0.83)</v>
      </c>
      <c r="K3" t="s">
        <v>52</v>
      </c>
      <c r="L3">
        <v>1.76457830435119</v>
      </c>
      <c r="M3">
        <v>1.76457830435119</v>
      </c>
      <c r="N3">
        <v>1.76457830435119</v>
      </c>
      <c r="O3">
        <v>162.884250080762</v>
      </c>
      <c r="P3">
        <v>1</v>
      </c>
      <c r="Q3">
        <v>2.6516028302589898E-37</v>
      </c>
      <c r="R3" t="s">
        <v>71</v>
      </c>
    </row>
    <row r="4" spans="1:18" x14ac:dyDescent="0.3">
      <c r="A4" t="s">
        <v>53</v>
      </c>
      <c r="B4">
        <v>1.44432433672784</v>
      </c>
      <c r="C4">
        <v>0.45116159880087398</v>
      </c>
      <c r="D4">
        <v>3.2013459048080599</v>
      </c>
      <c r="E4">
        <v>1.3678721661732299E-3</v>
      </c>
      <c r="F4" t="s">
        <v>72</v>
      </c>
      <c r="G4">
        <v>4.2389870471505402</v>
      </c>
      <c r="H4">
        <v>1.75075583967949</v>
      </c>
      <c r="I4">
        <v>10.263573468473799</v>
      </c>
      <c r="J4" t="str">
        <f t="shared" si="0"/>
        <v>4.24 (1.75-10.26)</v>
      </c>
      <c r="K4" t="s">
        <v>73</v>
      </c>
      <c r="L4">
        <v>1.3772568652617001</v>
      </c>
      <c r="M4">
        <v>1.3772568652617001</v>
      </c>
      <c r="N4">
        <v>1.3772568652617001</v>
      </c>
      <c r="O4">
        <v>12.6885096120604</v>
      </c>
      <c r="P4">
        <v>1</v>
      </c>
      <c r="Q4">
        <v>3.67909396873633E-4</v>
      </c>
      <c r="R4" t="s">
        <v>74</v>
      </c>
    </row>
    <row r="5" spans="1:18" x14ac:dyDescent="0.3">
      <c r="A5" t="s">
        <v>54</v>
      </c>
      <c r="B5">
        <v>1.2068234874822199</v>
      </c>
      <c r="C5">
        <v>0.20873306786500501</v>
      </c>
      <c r="D5">
        <v>5.7816593212854599</v>
      </c>
      <c r="E5">
        <v>7.3967383133103702E-9</v>
      </c>
      <c r="F5" t="s">
        <v>75</v>
      </c>
      <c r="G5">
        <v>3.3428491673907499</v>
      </c>
      <c r="H5">
        <v>2.2204428866251402</v>
      </c>
      <c r="I5">
        <v>5.0326178724233603</v>
      </c>
      <c r="J5" t="str">
        <f t="shared" si="0"/>
        <v>3.34 (2.22-5.03)</v>
      </c>
      <c r="K5" t="s">
        <v>76</v>
      </c>
      <c r="L5">
        <v>1.82555401250975</v>
      </c>
      <c r="M5">
        <v>1.82555401250975</v>
      </c>
      <c r="N5">
        <v>1.82555401250975</v>
      </c>
      <c r="O5">
        <v>36.276129551965603</v>
      </c>
      <c r="P5">
        <v>1</v>
      </c>
      <c r="Q5">
        <v>1.71248538946575E-9</v>
      </c>
      <c r="R5" t="s">
        <v>77</v>
      </c>
    </row>
    <row r="6" spans="1:18" x14ac:dyDescent="0.3">
      <c r="A6" t="s">
        <v>55</v>
      </c>
      <c r="B6">
        <v>0.85607988400459401</v>
      </c>
      <c r="C6">
        <v>0.188438297942565</v>
      </c>
      <c r="D6">
        <v>4.5430249230202797</v>
      </c>
      <c r="E6">
        <v>5.5452692380319904E-6</v>
      </c>
      <c r="F6" t="s">
        <v>78</v>
      </c>
      <c r="G6">
        <v>2.35391496367793</v>
      </c>
      <c r="H6">
        <v>1.62700486766631</v>
      </c>
      <c r="I6">
        <v>3.4055925500545499</v>
      </c>
      <c r="J6" t="str">
        <f t="shared" si="0"/>
        <v>2.35 (1.63-3.41)</v>
      </c>
      <c r="K6" t="s">
        <v>79</v>
      </c>
      <c r="L6">
        <v>1.58184729851982</v>
      </c>
      <c r="M6">
        <v>1.8048857773331799</v>
      </c>
      <c r="N6">
        <v>1.3588088197064601</v>
      </c>
      <c r="O6">
        <v>128.64015863006199</v>
      </c>
      <c r="P6">
        <v>2</v>
      </c>
      <c r="Q6">
        <v>1.1645133667431799E-28</v>
      </c>
      <c r="R6" t="s">
        <v>71</v>
      </c>
    </row>
    <row r="7" spans="1:18" x14ac:dyDescent="0.3">
      <c r="A7" t="s">
        <v>56</v>
      </c>
      <c r="B7">
        <v>1.8772732697119401</v>
      </c>
      <c r="C7">
        <v>0.175922879088418</v>
      </c>
      <c r="D7">
        <v>10.671001290107499</v>
      </c>
      <c r="E7">
        <v>1.3911905769204501E-26</v>
      </c>
      <c r="F7" t="s">
        <v>71</v>
      </c>
      <c r="G7">
        <v>6.5356595627064902</v>
      </c>
      <c r="H7">
        <v>4.6295720161023102</v>
      </c>
      <c r="I7">
        <v>9.2265215382822401</v>
      </c>
      <c r="J7" t="str">
        <f t="shared" si="0"/>
        <v>6.54 (4.63-9.23)</v>
      </c>
      <c r="K7" t="s">
        <v>79</v>
      </c>
      <c r="L7">
        <v>1.58184729851982</v>
      </c>
      <c r="M7">
        <v>1.8048857773331799</v>
      </c>
      <c r="N7">
        <v>1.8048857773331799</v>
      </c>
      <c r="O7">
        <v>128.64015863006199</v>
      </c>
      <c r="P7">
        <v>2</v>
      </c>
      <c r="Q7">
        <v>1.1645133667431799E-28</v>
      </c>
      <c r="R7" t="s">
        <v>71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1.5546875" defaultRowHeight="14.4" x14ac:dyDescent="0.3"/>
  <sheetData/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ColWidth="11.5546875" defaultRowHeight="14.4" x14ac:dyDescent="0.3"/>
  <sheetData>
    <row r="1" spans="1:1" x14ac:dyDescent="0.3">
      <c r="A1" t="s">
        <v>80</v>
      </c>
    </row>
    <row r="2" spans="1:1" x14ac:dyDescent="0.3">
      <c r="A2" t="s">
        <v>81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Model_Info</vt:lpstr>
      <vt:lpstr>Split_Info</vt:lpstr>
      <vt:lpstr>Train_Metrics</vt:lpstr>
      <vt:lpstr>Calibration_Stats_Train</vt:lpstr>
      <vt:lpstr>Coefficients</vt:lpstr>
      <vt:lpstr>Variable_Summary</vt:lpstr>
      <vt:lpstr>Calibration_Plot_Train</vt:lpstr>
      <vt:lpstr>Specs_JSON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piggypiggy00700</dc:creator>
  <cp:lastModifiedBy>승훈 전</cp:lastModifiedBy>
  <dcterms:created xsi:type="dcterms:W3CDTF">2025-10-13T06:18:21Z</dcterms:created>
  <dcterms:modified xsi:type="dcterms:W3CDTF">2025-10-22T08:15:05Z</dcterms:modified>
</cp:coreProperties>
</file>