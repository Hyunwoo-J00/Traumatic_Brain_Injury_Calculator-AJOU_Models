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ed\Desktop\TBI_risk_factor_R\Final_Model\12Month\CT\Alternative\"/>
    </mc:Choice>
  </mc:AlternateContent>
  <xr:revisionPtr revIDLastSave="0" documentId="13_ncr:1_{3FE0E433-1D26-4A41-A72F-6EA4F5891D8D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del_Info" sheetId="1" r:id="rId1"/>
    <sheet name="Split_Info" sheetId="2" r:id="rId2"/>
    <sheet name="Train_Metrics" sheetId="3" r:id="rId3"/>
    <sheet name="Calibration_Stats_Train" sheetId="4" r:id="rId4"/>
    <sheet name="Coefficients" sheetId="5" r:id="rId5"/>
    <sheet name="Variable_Summary" sheetId="6" r:id="rId6"/>
    <sheet name="Calibration_Plot_Train" sheetId="7" r:id="rId7"/>
    <sheet name="Specs_J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J3" i="6"/>
  <c r="J4" i="6"/>
  <c r="J5" i="6"/>
  <c r="J6" i="6"/>
  <c r="J7" i="6"/>
  <c r="J8" i="6"/>
  <c r="J9" i="6"/>
  <c r="J10" i="6"/>
  <c r="J11" i="6"/>
  <c r="J12" i="6"/>
</calcChain>
</file>

<file path=xl/sharedStrings.xml><?xml version="1.0" encoding="utf-8"?>
<sst xmlns="http://schemas.openxmlformats.org/spreadsheetml/2006/main" count="140" uniqueCount="106">
  <si>
    <t>Item</t>
  </si>
  <si>
    <t>Value</t>
  </si>
  <si>
    <t>Formula</t>
  </si>
  <si>
    <t>GOSE_12_Unfav ~ Age + arr_GCS_derived + arr_pp_size + arr_pp_prompt + head_neck_AIS + EDH + SAH + IVH + MidlineShift + basal_cistern_compression</t>
  </si>
  <si>
    <t>N_total</t>
  </si>
  <si>
    <t>1827</t>
  </si>
  <si>
    <t>Pos_Level</t>
  </si>
  <si>
    <t>1</t>
  </si>
  <si>
    <t>Penalty</t>
  </si>
  <si>
    <t>elasticnet</t>
  </si>
  <si>
    <t>Alpha</t>
  </si>
  <si>
    <t>0.4</t>
  </si>
  <si>
    <t>Lambda_Chosen</t>
  </si>
  <si>
    <t>0.04</t>
  </si>
  <si>
    <t>Use_CV</t>
  </si>
  <si>
    <t>FALSE</t>
  </si>
  <si>
    <t>Choose</t>
  </si>
  <si>
    <t>nfolds</t>
  </si>
  <si>
    <t>Threshold</t>
  </si>
  <si>
    <t>0.5</t>
  </si>
  <si>
    <t>Standardize</t>
  </si>
  <si>
    <t>TRUE</t>
  </si>
  <si>
    <t>Train_Test</t>
  </si>
  <si>
    <t>Test_Prop</t>
  </si>
  <si>
    <t>Split_Seed</t>
  </si>
  <si>
    <t>Set</t>
  </si>
  <si>
    <t>N</t>
  </si>
  <si>
    <t>Events</t>
  </si>
  <si>
    <t>All</t>
  </si>
  <si>
    <t>Metric</t>
  </si>
  <si>
    <t>AUROC</t>
  </si>
  <si>
    <t>Accuracy</t>
  </si>
  <si>
    <t>Recall</t>
  </si>
  <si>
    <t>Precision</t>
  </si>
  <si>
    <t>F1</t>
  </si>
  <si>
    <t>PseudoR2</t>
  </si>
  <si>
    <t>AIC_like</t>
  </si>
  <si>
    <t>Brier</t>
  </si>
  <si>
    <t>Term</t>
  </si>
  <si>
    <t>Estimate</t>
  </si>
  <si>
    <t>SE</t>
  </si>
  <si>
    <t>Z</t>
  </si>
  <si>
    <t>P_value</t>
  </si>
  <si>
    <t>CI_lower</t>
  </si>
  <si>
    <t>CI_upper</t>
  </si>
  <si>
    <t>CITL (Intercept w/ offset)</t>
  </si>
  <si>
    <t>Calibration slope</t>
  </si>
  <si>
    <t>Lambda</t>
  </si>
  <si>
    <t>Feature</t>
  </si>
  <si>
    <t>Coef</t>
  </si>
  <si>
    <t>lambda=0.04</t>
  </si>
  <si>
    <t>(Intercept)</t>
  </si>
  <si>
    <t>Age</t>
  </si>
  <si>
    <t>arr_GCS_derived</t>
  </si>
  <si>
    <t>arr_pp_sizebilaterally mydriatic</t>
  </si>
  <si>
    <t>arr_pp_promptbilateral absence</t>
  </si>
  <si>
    <t>head_neck_AIS4</t>
  </si>
  <si>
    <t>head_neck_AIS5</t>
  </si>
  <si>
    <t>EDHpresent</t>
  </si>
  <si>
    <t>SAHpresent</t>
  </si>
  <si>
    <t>IVHpresent</t>
  </si>
  <si>
    <t>MidlineShiftpresent</t>
  </si>
  <si>
    <t>basal_cistern_compressionpresent</t>
  </si>
  <si>
    <t>Variable</t>
  </si>
  <si>
    <t>Coefficient</t>
  </si>
  <si>
    <t>Std_Error</t>
  </si>
  <si>
    <t>Z_value</t>
  </si>
  <si>
    <t>P_value_str</t>
  </si>
  <si>
    <t>OR</t>
  </si>
  <si>
    <t>Original</t>
  </si>
  <si>
    <t>Avg_VIF</t>
  </si>
  <si>
    <t>Max_VIF</t>
  </si>
  <si>
    <t>VIF_raw</t>
  </si>
  <si>
    <t>LR_stat</t>
  </si>
  <si>
    <t>df_diff</t>
  </si>
  <si>
    <t>LR_pvalue</t>
  </si>
  <si>
    <t>LR_pvalue_str</t>
  </si>
  <si>
    <t>2.01e-15</t>
  </si>
  <si>
    <t>1.41e-16</t>
  </si>
  <si>
    <t>&lt; 1e-16</t>
  </si>
  <si>
    <t>0.00443</t>
  </si>
  <si>
    <t>arr_pp_size</t>
  </si>
  <si>
    <t>0.00174</t>
  </si>
  <si>
    <t>2.35e-07</t>
  </si>
  <si>
    <t>arr_pp_prompt</t>
  </si>
  <si>
    <t>9.88e-08</t>
  </si>
  <si>
    <t>0.00492</t>
  </si>
  <si>
    <t>head_neck_AIS</t>
  </si>
  <si>
    <t>1.84e-07</t>
  </si>
  <si>
    <t>EDH</t>
  </si>
  <si>
    <t>9.9e-08</t>
  </si>
  <si>
    <t>0.00201</t>
  </si>
  <si>
    <t>SAH</t>
  </si>
  <si>
    <t>0.00186</t>
  </si>
  <si>
    <t>0.0101</t>
  </si>
  <si>
    <t>IVH</t>
  </si>
  <si>
    <t>0.00987</t>
  </si>
  <si>
    <t>0.000287</t>
  </si>
  <si>
    <t>MidlineShift</t>
  </si>
  <si>
    <t>0.00027</t>
  </si>
  <si>
    <t>6.06e-11</t>
  </si>
  <si>
    <t>basal_cistern_compression</t>
  </si>
  <si>
    <t>2.47e-11</t>
  </si>
  <si>
    <t>JSON</t>
  </si>
  <si>
    <t>{"formula":"GOSE_12_Unfav ~ Age + arr_GCS_derived + arr_pp_size + arr_pp_prompt + head_neck_AIS + EDH + SAH + IVH + MidlineShift + basal_cistern_compression","penalty":"elasticnet","alpha":0.4,"lambda":0.04,"x_names":["Age","arr_GCS_derived","arr_pp_sizebilaterally mydriatic","arr_pp_promptbilateral absence","head_neck_AIS4","head_neck_AIS5","EDHpresent","SAHpresent","IVHpresent","MidlineShiftpresent","basal_cistern_compressionpresent"],"train_test":false,"test_prop":{},"split_seed":{},"standardize":true,"threshold":0.5,"family":"binomial","link":"logit"}</t>
  </si>
  <si>
    <t>OR (95% CI)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</si>
</sst>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864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</row>
    <row r="10" spans="1:2" x14ac:dyDescent="0.3">
      <c r="A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15</v>
      </c>
    </row>
    <row r="14" spans="1:2" x14ac:dyDescent="0.3">
      <c r="A14" t="s">
        <v>23</v>
      </c>
    </row>
    <row r="15" spans="1:2" x14ac:dyDescent="0.3">
      <c r="A15" t="s">
        <v>24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ColWidth="11.5546875" defaultRowHeight="14.4" x14ac:dyDescent="0.3"/>
  <sheetData>
    <row r="1" spans="1:3" x14ac:dyDescent="0.3">
      <c r="A1" t="s">
        <v>25</v>
      </c>
      <c r="B1" t="s">
        <v>26</v>
      </c>
      <c r="C1" t="s">
        <v>27</v>
      </c>
    </row>
    <row r="2" spans="1:3" x14ac:dyDescent="0.3">
      <c r="A2" t="s">
        <v>28</v>
      </c>
      <c r="B2">
        <v>1827</v>
      </c>
      <c r="C2">
        <v>720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2" x14ac:dyDescent="0.3">
      <c r="A1" t="s">
        <v>29</v>
      </c>
      <c r="B1" t="s">
        <v>1</v>
      </c>
    </row>
    <row r="2" spans="1:2" x14ac:dyDescent="0.3">
      <c r="A2" t="s">
        <v>30</v>
      </c>
      <c r="B2">
        <v>0.91039999999999999</v>
      </c>
    </row>
    <row r="3" spans="1:2" x14ac:dyDescent="0.3">
      <c r="A3" t="s">
        <v>31</v>
      </c>
      <c r="B3">
        <v>0.83850000000000002</v>
      </c>
    </row>
    <row r="4" spans="1:2" x14ac:dyDescent="0.3">
      <c r="A4" t="s">
        <v>32</v>
      </c>
      <c r="B4">
        <v>0.74170000000000003</v>
      </c>
    </row>
    <row r="5" spans="1:2" x14ac:dyDescent="0.3">
      <c r="A5" t="s">
        <v>33</v>
      </c>
      <c r="B5">
        <v>0.83050000000000002</v>
      </c>
    </row>
    <row r="6" spans="1:2" x14ac:dyDescent="0.3">
      <c r="A6" t="s">
        <v>34</v>
      </c>
      <c r="B6">
        <v>0.78359999999999996</v>
      </c>
    </row>
    <row r="7" spans="1:2" x14ac:dyDescent="0.3">
      <c r="A7" t="s">
        <v>35</v>
      </c>
      <c r="B7">
        <v>0.43869999999999998</v>
      </c>
    </row>
    <row r="8" spans="1:2" x14ac:dyDescent="0.3">
      <c r="A8" t="s">
        <v>36</v>
      </c>
      <c r="B8">
        <v>1397.2739999999999</v>
      </c>
    </row>
    <row r="9" spans="1:2" x14ac:dyDescent="0.3">
      <c r="A9" t="s">
        <v>37</v>
      </c>
      <c r="B9">
        <v>0.1154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7" x14ac:dyDescent="0.3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3">
      <c r="A2" t="s">
        <v>45</v>
      </c>
      <c r="B2">
        <v>-1.7127629988410999E-7</v>
      </c>
      <c r="C2">
        <v>6.13975491228737E-2</v>
      </c>
      <c r="D2">
        <v>-2.7896276371119902E-6</v>
      </c>
      <c r="E2">
        <v>0.99999777419917801</v>
      </c>
      <c r="F2">
        <v>-0.120339367557132</v>
      </c>
      <c r="G2">
        <v>0.120339025004533</v>
      </c>
    </row>
    <row r="3" spans="1:7" x14ac:dyDescent="0.3">
      <c r="A3" t="s">
        <v>46</v>
      </c>
      <c r="B3">
        <v>1.3831583727830199</v>
      </c>
      <c r="C3">
        <v>6.04218385417052E-2</v>
      </c>
      <c r="D3">
        <v>22.8916962172264</v>
      </c>
      <c r="E3">
        <v>5.6211039688391103E-116</v>
      </c>
      <c r="F3">
        <v>1.2647315692412699</v>
      </c>
      <c r="G3">
        <v>1.5015851763247601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3" x14ac:dyDescent="0.3">
      <c r="A1" t="s">
        <v>47</v>
      </c>
      <c r="B1" t="s">
        <v>48</v>
      </c>
      <c r="C1" t="s">
        <v>49</v>
      </c>
    </row>
    <row r="2" spans="1:3" x14ac:dyDescent="0.3">
      <c r="A2" t="s">
        <v>50</v>
      </c>
      <c r="B2" t="s">
        <v>51</v>
      </c>
      <c r="C2">
        <v>-1.33518911313691</v>
      </c>
    </row>
    <row r="3" spans="1:3" x14ac:dyDescent="0.3">
      <c r="A3" t="s">
        <v>50</v>
      </c>
      <c r="B3" t="s">
        <v>52</v>
      </c>
      <c r="C3">
        <v>2.0160128765705401E-2</v>
      </c>
    </row>
    <row r="4" spans="1:3" x14ac:dyDescent="0.3">
      <c r="A4" t="s">
        <v>50</v>
      </c>
      <c r="B4" t="s">
        <v>53</v>
      </c>
      <c r="C4">
        <v>-0.13715876833957599</v>
      </c>
    </row>
    <row r="5" spans="1:3" x14ac:dyDescent="0.3">
      <c r="A5" t="s">
        <v>50</v>
      </c>
      <c r="B5" t="s">
        <v>54</v>
      </c>
      <c r="C5">
        <v>0.50390687590017202</v>
      </c>
    </row>
    <row r="6" spans="1:3" x14ac:dyDescent="0.3">
      <c r="A6" t="s">
        <v>50</v>
      </c>
      <c r="B6" t="s">
        <v>55</v>
      </c>
      <c r="C6">
        <v>0.98246398358340703</v>
      </c>
    </row>
    <row r="7" spans="1:3" x14ac:dyDescent="0.3">
      <c r="A7" t="s">
        <v>50</v>
      </c>
      <c r="B7" t="s">
        <v>56</v>
      </c>
      <c r="C7">
        <v>0</v>
      </c>
    </row>
    <row r="8" spans="1:3" x14ac:dyDescent="0.3">
      <c r="A8" t="s">
        <v>50</v>
      </c>
      <c r="B8" t="s">
        <v>57</v>
      </c>
      <c r="C8">
        <v>1.01288014500226</v>
      </c>
    </row>
    <row r="9" spans="1:3" x14ac:dyDescent="0.3">
      <c r="A9" t="s">
        <v>50</v>
      </c>
      <c r="B9" t="s">
        <v>58</v>
      </c>
      <c r="C9">
        <v>-0.40795407359122998</v>
      </c>
    </row>
    <row r="10" spans="1:3" x14ac:dyDescent="0.3">
      <c r="A10" t="s">
        <v>50</v>
      </c>
      <c r="B10" t="s">
        <v>59</v>
      </c>
      <c r="C10">
        <v>0.29964956606469201</v>
      </c>
    </row>
    <row r="11" spans="1:3" x14ac:dyDescent="0.3">
      <c r="A11" t="s">
        <v>50</v>
      </c>
      <c r="B11" t="s">
        <v>60</v>
      </c>
      <c r="C11">
        <v>0.35181915752469101</v>
      </c>
    </row>
    <row r="12" spans="1:3" x14ac:dyDescent="0.3">
      <c r="A12" t="s">
        <v>50</v>
      </c>
      <c r="B12" t="s">
        <v>61</v>
      </c>
      <c r="C12">
        <v>0.55616055913818596</v>
      </c>
    </row>
    <row r="13" spans="1:3" x14ac:dyDescent="0.3">
      <c r="A13" t="s">
        <v>50</v>
      </c>
      <c r="B13" t="s">
        <v>62</v>
      </c>
      <c r="C13">
        <v>0.89462347701017497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2"/>
  <sheetViews>
    <sheetView tabSelected="1" workbookViewId="0">
      <pane xSplit="1" topLeftCell="G1" activePane="topRight" state="frozen"/>
      <selection pane="topRight" activeCell="R11" sqref="R11"/>
    </sheetView>
  </sheetViews>
  <sheetFormatPr defaultColWidth="11.5546875" defaultRowHeight="14.4" x14ac:dyDescent="0.3"/>
  <sheetData>
    <row r="1" spans="1:18" x14ac:dyDescent="0.3">
      <c r="A1" t="s">
        <v>63</v>
      </c>
      <c r="B1" t="s">
        <v>64</v>
      </c>
      <c r="C1" t="s">
        <v>65</v>
      </c>
      <c r="D1" t="s">
        <v>66</v>
      </c>
      <c r="E1" t="s">
        <v>42</v>
      </c>
      <c r="F1" t="s">
        <v>67</v>
      </c>
      <c r="G1" t="s">
        <v>68</v>
      </c>
      <c r="H1" t="s">
        <v>43</v>
      </c>
      <c r="I1" t="s">
        <v>44</v>
      </c>
      <c r="J1" t="s">
        <v>105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</row>
    <row r="2" spans="1:18" x14ac:dyDescent="0.3">
      <c r="A2" t="s">
        <v>52</v>
      </c>
      <c r="B2">
        <v>3.5544922870716901E-2</v>
      </c>
      <c r="C2">
        <v>4.4763043782247297E-3</v>
      </c>
      <c r="D2">
        <v>7.9406849640581703</v>
      </c>
      <c r="E2">
        <v>2.0106777107765998E-15</v>
      </c>
      <c r="F2" t="s">
        <v>77</v>
      </c>
      <c r="G2">
        <v>1.0361841954511899</v>
      </c>
      <c r="H2">
        <v>1.0271329387005299</v>
      </c>
      <c r="I2">
        <v>1.0453152132976899</v>
      </c>
      <c r="J2" t="str">
        <f>_xlfn.CONCAT(ROUND(G2,3), " (", ROUND(H2,3), "-", ROUND(I2,3), ")")</f>
        <v>1.036 (1.027-1.045)</v>
      </c>
      <c r="K2" t="s">
        <v>52</v>
      </c>
      <c r="L2">
        <v>1.1114312883803099</v>
      </c>
      <c r="M2">
        <v>1.1114312883803099</v>
      </c>
      <c r="N2">
        <v>1.1114312883803099</v>
      </c>
      <c r="O2">
        <v>68.291645580852403</v>
      </c>
      <c r="P2">
        <v>1</v>
      </c>
      <c r="Q2">
        <v>1.4101716791478E-16</v>
      </c>
      <c r="R2" t="s">
        <v>78</v>
      </c>
    </row>
    <row r="3" spans="1:18" x14ac:dyDescent="0.3">
      <c r="A3" t="s">
        <v>53</v>
      </c>
      <c r="B3">
        <v>-0.174894511045567</v>
      </c>
      <c r="C3">
        <v>1.96420752782814E-2</v>
      </c>
      <c r="D3">
        <v>-8.9040749802517993</v>
      </c>
      <c r="E3">
        <v>5.3833056562353796E-19</v>
      </c>
      <c r="F3" t="s">
        <v>79</v>
      </c>
      <c r="G3">
        <v>0.83954557888348902</v>
      </c>
      <c r="H3">
        <v>0.80783861155085901</v>
      </c>
      <c r="I3">
        <v>0.872497017281326</v>
      </c>
      <c r="J3" t="str">
        <f t="shared" ref="J3:J12" si="0">_xlfn.CONCAT(ROUND(G3,2), " (", ROUND(H3,2), "-", ROUND(I3,2), ")")</f>
        <v>0.84 (0.81-0.87)</v>
      </c>
      <c r="K3" t="s">
        <v>53</v>
      </c>
      <c r="L3">
        <v>2.01761207590702</v>
      </c>
      <c r="M3">
        <v>2.01761207590702</v>
      </c>
      <c r="N3">
        <v>2.01761207590702</v>
      </c>
      <c r="O3">
        <v>82.377342326641795</v>
      </c>
      <c r="P3">
        <v>1</v>
      </c>
      <c r="Q3">
        <v>1.1243530966952701E-19</v>
      </c>
      <c r="R3" t="s">
        <v>79</v>
      </c>
    </row>
    <row r="4" spans="1:18" x14ac:dyDescent="0.3">
      <c r="A4" t="s">
        <v>54</v>
      </c>
      <c r="B4">
        <v>1.3341688108582299</v>
      </c>
      <c r="C4">
        <v>0.46880840074490399</v>
      </c>
      <c r="D4">
        <v>2.8458722342396801</v>
      </c>
      <c r="E4">
        <v>4.4289961405826498E-3</v>
      </c>
      <c r="F4" t="s">
        <v>80</v>
      </c>
      <c r="G4">
        <v>3.7968387433480602</v>
      </c>
      <c r="H4">
        <v>1.5148317026004301</v>
      </c>
      <c r="I4">
        <v>9.5165584521644799</v>
      </c>
      <c r="J4" t="str">
        <f t="shared" si="0"/>
        <v>3.8 (1.51-9.52)</v>
      </c>
      <c r="K4" t="s">
        <v>81</v>
      </c>
      <c r="L4">
        <v>1.3909744692514101</v>
      </c>
      <c r="M4">
        <v>1.3909744692514101</v>
      </c>
      <c r="N4">
        <v>1.3909744692514101</v>
      </c>
      <c r="O4">
        <v>9.8016482603777604</v>
      </c>
      <c r="P4">
        <v>1</v>
      </c>
      <c r="Q4">
        <v>1.74355525425918E-3</v>
      </c>
      <c r="R4" t="s">
        <v>82</v>
      </c>
    </row>
    <row r="5" spans="1:18" x14ac:dyDescent="0.3">
      <c r="A5" t="s">
        <v>55</v>
      </c>
      <c r="B5">
        <v>1.12605928109951</v>
      </c>
      <c r="C5">
        <v>0.21784805785859301</v>
      </c>
      <c r="D5">
        <v>5.1690122563793697</v>
      </c>
      <c r="E5">
        <v>2.35334465983352E-7</v>
      </c>
      <c r="F5" t="s">
        <v>83</v>
      </c>
      <c r="G5">
        <v>3.0834813931382201</v>
      </c>
      <c r="H5">
        <v>2.0118950476812798</v>
      </c>
      <c r="I5">
        <v>4.7258218130152798</v>
      </c>
      <c r="J5" t="str">
        <f t="shared" si="0"/>
        <v>3.08 (2.01-4.73)</v>
      </c>
      <c r="K5" t="s">
        <v>84</v>
      </c>
      <c r="L5">
        <v>1.86000578384597</v>
      </c>
      <c r="M5">
        <v>1.86000578384597</v>
      </c>
      <c r="N5">
        <v>1.86000578384597</v>
      </c>
      <c r="O5">
        <v>28.398305488950399</v>
      </c>
      <c r="P5">
        <v>1</v>
      </c>
      <c r="Q5">
        <v>9.8751707193023899E-8</v>
      </c>
      <c r="R5" t="s">
        <v>85</v>
      </c>
    </row>
    <row r="6" spans="1:18" x14ac:dyDescent="0.3">
      <c r="A6" t="s">
        <v>56</v>
      </c>
      <c r="B6">
        <v>0.57036545855018195</v>
      </c>
      <c r="C6">
        <v>0.20279610160432701</v>
      </c>
      <c r="D6">
        <v>2.8125070158548402</v>
      </c>
      <c r="E6">
        <v>4.9156951126252801E-3</v>
      </c>
      <c r="F6" t="s">
        <v>86</v>
      </c>
      <c r="G6">
        <v>1.7689133978459</v>
      </c>
      <c r="H6">
        <v>1.18872951150951</v>
      </c>
      <c r="I6">
        <v>2.6322679623771701</v>
      </c>
      <c r="J6" t="str">
        <f t="shared" si="0"/>
        <v>1.77 (1.19-2.63)</v>
      </c>
      <c r="K6" t="s">
        <v>87</v>
      </c>
      <c r="L6">
        <v>1.87103530422845</v>
      </c>
      <c r="M6">
        <v>2.2963731650159001</v>
      </c>
      <c r="N6">
        <v>1.4456974434409999</v>
      </c>
      <c r="O6">
        <v>84.227948328499707</v>
      </c>
      <c r="P6">
        <v>2</v>
      </c>
      <c r="Q6">
        <v>5.1301895234216196E-19</v>
      </c>
      <c r="R6" t="s">
        <v>79</v>
      </c>
    </row>
    <row r="7" spans="1:18" x14ac:dyDescent="0.3">
      <c r="A7" t="s">
        <v>57</v>
      </c>
      <c r="B7">
        <v>1.7522430641437701</v>
      </c>
      <c r="C7">
        <v>0.20460768029384799</v>
      </c>
      <c r="D7">
        <v>8.5639163770748006</v>
      </c>
      <c r="E7">
        <v>1.09096977162595E-17</v>
      </c>
      <c r="F7" t="s">
        <v>79</v>
      </c>
      <c r="G7">
        <v>5.7675251064319903</v>
      </c>
      <c r="H7">
        <v>3.8621036063426302</v>
      </c>
      <c r="I7">
        <v>8.6130122968980398</v>
      </c>
      <c r="J7" t="str">
        <f t="shared" si="0"/>
        <v>5.77 (3.86-8.61)</v>
      </c>
      <c r="K7" t="s">
        <v>87</v>
      </c>
      <c r="L7">
        <v>1.87103530422845</v>
      </c>
      <c r="M7">
        <v>2.2963731650159001</v>
      </c>
      <c r="N7">
        <v>2.2963731650159001</v>
      </c>
      <c r="O7">
        <v>84.227948328499707</v>
      </c>
      <c r="P7">
        <v>2</v>
      </c>
      <c r="Q7">
        <v>5.1301895234216196E-19</v>
      </c>
      <c r="R7" t="s">
        <v>79</v>
      </c>
    </row>
    <row r="8" spans="1:18" x14ac:dyDescent="0.3">
      <c r="A8" t="s">
        <v>58</v>
      </c>
      <c r="B8">
        <v>-0.87297009818715499</v>
      </c>
      <c r="C8">
        <v>0.16740963048579</v>
      </c>
      <c r="D8">
        <v>-5.2145751451333204</v>
      </c>
      <c r="E8">
        <v>1.84239006091079E-7</v>
      </c>
      <c r="F8" t="s">
        <v>88</v>
      </c>
      <c r="G8">
        <v>0.41770906806963698</v>
      </c>
      <c r="H8">
        <v>0.30086519432449099</v>
      </c>
      <c r="I8">
        <v>0.57993037692297</v>
      </c>
      <c r="J8" t="str">
        <f t="shared" si="0"/>
        <v>0.42 (0.3-0.58)</v>
      </c>
      <c r="K8" t="s">
        <v>89</v>
      </c>
      <c r="L8">
        <v>1.12490372302848</v>
      </c>
      <c r="M8">
        <v>1.12490372302848</v>
      </c>
      <c r="N8">
        <v>1.12490372302848</v>
      </c>
      <c r="O8">
        <v>28.394243858160699</v>
      </c>
      <c r="P8">
        <v>1</v>
      </c>
      <c r="Q8">
        <v>9.8959106454579402E-8</v>
      </c>
      <c r="R8" t="s">
        <v>90</v>
      </c>
    </row>
    <row r="9" spans="1:18" x14ac:dyDescent="0.3">
      <c r="A9" t="s">
        <v>59</v>
      </c>
      <c r="B9">
        <v>0.51224759355515204</v>
      </c>
      <c r="C9">
        <v>0.16588257280769</v>
      </c>
      <c r="D9">
        <v>3.0880133149912599</v>
      </c>
      <c r="E9">
        <v>2.01499442517748E-3</v>
      </c>
      <c r="F9" t="s">
        <v>91</v>
      </c>
      <c r="G9">
        <v>1.66903830211263</v>
      </c>
      <c r="H9">
        <v>1.2057692570485301</v>
      </c>
      <c r="I9">
        <v>2.31030011557749</v>
      </c>
      <c r="J9" t="str">
        <f t="shared" si="0"/>
        <v>1.67 (1.21-2.31)</v>
      </c>
      <c r="K9" t="s">
        <v>92</v>
      </c>
      <c r="L9">
        <v>1.17710197620596</v>
      </c>
      <c r="M9">
        <v>1.17710197620596</v>
      </c>
      <c r="N9">
        <v>1.17710197620596</v>
      </c>
      <c r="O9">
        <v>9.6841473485551397</v>
      </c>
      <c r="P9">
        <v>1</v>
      </c>
      <c r="Q9">
        <v>1.8586461854938801E-3</v>
      </c>
      <c r="R9" t="s">
        <v>93</v>
      </c>
    </row>
    <row r="10" spans="1:18" x14ac:dyDescent="0.3">
      <c r="A10" t="s">
        <v>60</v>
      </c>
      <c r="B10">
        <v>0.51801412641006594</v>
      </c>
      <c r="C10">
        <v>0.201483560703381</v>
      </c>
      <c r="D10">
        <v>2.5709994631903101</v>
      </c>
      <c r="E10">
        <v>1.0140548413853499E-2</v>
      </c>
      <c r="F10" t="s">
        <v>94</v>
      </c>
      <c r="G10">
        <v>1.67869066991849</v>
      </c>
      <c r="H10">
        <v>1.13100469399616</v>
      </c>
      <c r="I10">
        <v>2.4915921041092899</v>
      </c>
      <c r="J10" t="str">
        <f t="shared" si="0"/>
        <v>1.68 (1.13-2.49)</v>
      </c>
      <c r="K10" t="s">
        <v>95</v>
      </c>
      <c r="L10">
        <v>1.12620946257624</v>
      </c>
      <c r="M10">
        <v>1.12620946257624</v>
      </c>
      <c r="N10">
        <v>1.12620946257624</v>
      </c>
      <c r="O10">
        <v>6.6582290486110196</v>
      </c>
      <c r="P10">
        <v>1</v>
      </c>
      <c r="Q10">
        <v>9.8698954755452508E-3</v>
      </c>
      <c r="R10" t="s">
        <v>96</v>
      </c>
    </row>
    <row r="11" spans="1:18" x14ac:dyDescent="0.3">
      <c r="A11" t="s">
        <v>61</v>
      </c>
      <c r="B11">
        <v>0.67184975590548301</v>
      </c>
      <c r="C11">
        <v>0.18523044998513699</v>
      </c>
      <c r="D11">
        <v>3.6271021096120601</v>
      </c>
      <c r="E11">
        <v>2.8661996884355302E-4</v>
      </c>
      <c r="F11" t="s">
        <v>97</v>
      </c>
      <c r="G11">
        <v>1.9578555280290799</v>
      </c>
      <c r="H11">
        <v>1.3617873623747201</v>
      </c>
      <c r="I11">
        <v>2.8148287864484001</v>
      </c>
      <c r="J11" t="str">
        <f t="shared" si="0"/>
        <v>1.96 (1.36-2.81)</v>
      </c>
      <c r="K11" t="s">
        <v>98</v>
      </c>
      <c r="L11">
        <v>1.4363758649951801</v>
      </c>
      <c r="M11">
        <v>1.4363758649951801</v>
      </c>
      <c r="N11">
        <v>1.4363758649951801</v>
      </c>
      <c r="O11">
        <v>13.2658257431856</v>
      </c>
      <c r="P11">
        <v>1</v>
      </c>
      <c r="Q11">
        <v>2.7028837572394402E-4</v>
      </c>
      <c r="R11" t="s">
        <v>99</v>
      </c>
    </row>
    <row r="12" spans="1:18" x14ac:dyDescent="0.3">
      <c r="A12" t="s">
        <v>62</v>
      </c>
      <c r="B12">
        <v>1.19487646678618</v>
      </c>
      <c r="C12">
        <v>0.18264048326061999</v>
      </c>
      <c r="D12">
        <v>6.5422322885619</v>
      </c>
      <c r="E12">
        <v>6.0607265937113306E-11</v>
      </c>
      <c r="F12" t="s">
        <v>100</v>
      </c>
      <c r="G12">
        <v>3.3031496965990899</v>
      </c>
      <c r="H12">
        <v>2.3091999431722501</v>
      </c>
      <c r="I12">
        <v>4.7249255961586503</v>
      </c>
      <c r="J12" t="str">
        <f t="shared" si="0"/>
        <v>3.3 (2.31-4.72)</v>
      </c>
      <c r="K12" t="s">
        <v>101</v>
      </c>
      <c r="L12">
        <v>1.2378554630991701</v>
      </c>
      <c r="M12">
        <v>1.2378554630991701</v>
      </c>
      <c r="N12">
        <v>1.2378554630991701</v>
      </c>
      <c r="O12">
        <v>44.556190517402001</v>
      </c>
      <c r="P12">
        <v>1</v>
      </c>
      <c r="Q12">
        <v>2.4716076315191702E-11</v>
      </c>
      <c r="R12" t="s">
        <v>102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5546875" defaultRowHeight="14.4" x14ac:dyDescent="0.3"/>
  <sheetData/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ColWidth="11.5546875" defaultRowHeight="14.4" x14ac:dyDescent="0.3"/>
  <sheetData>
    <row r="1" spans="1:1" x14ac:dyDescent="0.3">
      <c r="A1" t="s">
        <v>103</v>
      </c>
    </row>
    <row r="2" spans="1:1" x14ac:dyDescent="0.3">
      <c r="A2" t="s">
        <v>104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Model_Info</vt:lpstr>
      <vt:lpstr>Split_Info</vt:lpstr>
      <vt:lpstr>Train_Metrics</vt:lpstr>
      <vt:lpstr>Calibration_Stats_Train</vt:lpstr>
      <vt:lpstr>Coefficients</vt:lpstr>
      <vt:lpstr>Variable_Summary</vt:lpstr>
      <vt:lpstr>Calibration_Plot_Train</vt:lpstr>
      <vt:lpstr>Specs_JSON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piggypiggy00700</dc:creator>
  <cp:lastModifiedBy>승훈 전</cp:lastModifiedBy>
  <dcterms:created xsi:type="dcterms:W3CDTF">2025-10-13T06:30:24Z</dcterms:created>
  <dcterms:modified xsi:type="dcterms:W3CDTF">2025-10-22T07:57:02Z</dcterms:modified>
</cp:coreProperties>
</file>