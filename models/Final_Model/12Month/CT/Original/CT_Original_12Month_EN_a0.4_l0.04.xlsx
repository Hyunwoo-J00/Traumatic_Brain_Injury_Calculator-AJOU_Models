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12Month\CT\Original\"/>
    </mc:Choice>
  </mc:AlternateContent>
  <xr:revisionPtr revIDLastSave="0" documentId="13_ncr:1_{022114BD-C4EE-4B11-AB0D-E6B84066467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2" i="6"/>
</calcChain>
</file>

<file path=xl/sharedStrings.xml><?xml version="1.0" encoding="utf-8"?>
<sst xmlns="http://schemas.openxmlformats.org/spreadsheetml/2006/main" count="169" uniqueCount="123">
  <si>
    <t>Item</t>
  </si>
  <si>
    <t>Value</t>
  </si>
  <si>
    <t>Formula</t>
  </si>
  <si>
    <t>GOSE_12_Unfav ~ Age + arr_status + Upper_Lower_Extremities_imputed + arr_pp_size + arr_pp_prompt + head_neck_AIS + EDH + SAH + IVH + MidlineShift + basal_cistern_compression + facial_fracture</t>
  </si>
  <si>
    <t>N_total</t>
  </si>
  <si>
    <t>1827</t>
  </si>
  <si>
    <t>Pos_Level</t>
  </si>
  <si>
    <t>1</t>
  </si>
  <si>
    <t>Penalty</t>
  </si>
  <si>
    <t>elasticnet</t>
  </si>
  <si>
    <t>Alpha</t>
  </si>
  <si>
    <t>0.4</t>
  </si>
  <si>
    <t>Lambda_Chosen</t>
  </si>
  <si>
    <t>0.04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</si>
  <si>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</si>
  <si>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</si>
  <si>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</si>
  <si>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</si>
  <si>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</si>
  <si>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</si>
  <si>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</si>
  <si>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</si>
  <si>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</si>
  <si>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</si>
  <si>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</si>
  <si>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</si>
  <si>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</si>
  <si>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</si>
  <si>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</si>
  <si>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</si>
  <si>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</si>
  <si>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</si>
  <si>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</si>
  <si>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</si>
  <si>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</si>
  <si>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</si>
  <si>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</si>
  <si>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</si>
  <si>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</si>
  <si>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</si>
  <si>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</si>
  <si>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</si>
  <si>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</si>
  <si>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</si>
  <si>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</si>
  <si>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</si>
  <si>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</si>
  <si>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</si>
  <si>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</si>
  <si>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</si>
  <si>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lambda=0.04</t>
  </si>
  <si>
    <t>(Intercept)</t>
  </si>
  <si>
    <t>Age</t>
  </si>
  <si>
    <t>arr_statusComa</t>
  </si>
  <si>
    <t>arr_statusDrowsy</t>
  </si>
  <si>
    <t>arr_statusSemicoma</t>
  </si>
  <si>
    <t>arr_statusStupor</t>
  </si>
  <si>
    <t>Upper_Lower_Extremities_imputedBoth Bilateral</t>
  </si>
  <si>
    <t>arr_pp_sizebilaterally mydriatic</t>
  </si>
  <si>
    <t>arr_pp_promptbilateral absence</t>
  </si>
  <si>
    <t>head_neck_AIS4</t>
  </si>
  <si>
    <t>head_neck_AIS5</t>
  </si>
  <si>
    <t>EDHpresent</t>
  </si>
  <si>
    <t>SAHpresent</t>
  </si>
  <si>
    <t>IVHpresent</t>
  </si>
  <si>
    <t>MidlineShiftpresent</t>
  </si>
  <si>
    <t>basal_cistern_compressionpresent</t>
  </si>
  <si>
    <t>facial_fracturepresent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</si>
  <si>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</si>
  <si>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</si>
  <si>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</si>
  <si>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</si>
  <si>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</si>
  <si>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</si>
  <si>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</si>
  <si>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</si>
  <si>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</si>
  <si>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</si>
  <si>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</si>
  <si>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</si>
  <si>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</si>
  <si>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</si>
  <si>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4.45e-15</t>
  </si>
  <si>
    <t>3.01e-16</t>
  </si>
  <si>
    <t>4.59e-07</t>
  </si>
  <si>
    <t>arr_status</t>
  </si>
  <si>
    <t>6.06e-11</t>
  </si>
  <si>
    <t>0.00471</t>
  </si>
  <si>
    <t>1.73e-11</t>
  </si>
  <si>
    <t>6.41e-07</t>
  </si>
  <si>
    <t>3.25e-06</t>
  </si>
  <si>
    <t>Upper_Lower_Extremities_imputed</t>
  </si>
  <si>
    <t>2.59e-06</t>
  </si>
  <si>
    <t>0.0115</t>
  </si>
  <si>
    <t>arr_pp_size</t>
  </si>
  <si>
    <t>0.00668</t>
  </si>
  <si>
    <t>5.23e-05</t>
  </si>
  <si>
    <t>arr_pp_prompt</t>
  </si>
  <si>
    <t>3.93e-05</t>
  </si>
  <si>
    <t>0.0214</t>
  </si>
  <si>
    <t>head_neck_AIS</t>
  </si>
  <si>
    <t>4.22e-15</t>
  </si>
  <si>
    <t>3.51e-14</t>
  </si>
  <si>
    <t>5.11e-07</t>
  </si>
  <si>
    <t>EDH</t>
  </si>
  <si>
    <t>2.86e-07</t>
  </si>
  <si>
    <t>0.00974</t>
  </si>
  <si>
    <t>SAH</t>
  </si>
  <si>
    <t>0.00931</t>
  </si>
  <si>
    <t>0.0578</t>
  </si>
  <si>
    <t>IVH</t>
  </si>
  <si>
    <t>0.0575</t>
  </si>
  <si>
    <t>0.00634</t>
  </si>
  <si>
    <t>MidlineShift</t>
  </si>
  <si>
    <t>0.00628</t>
  </si>
  <si>
    <t>1.27e-08</t>
  </si>
  <si>
    <t>basal_cistern_compression</t>
  </si>
  <si>
    <t>8.23e-09</t>
  </si>
  <si>
    <t>0.052</t>
  </si>
  <si>
    <t>facial_fracture</t>
  </si>
  <si>
    <t>0.0507</t>
  </si>
  <si>
    <t>JSON</t>
  </si>
  <si>
    <t>{"formula":"GOSE_12_Unfav ~ Age + arr_status + Upper_Lower_Extremities_imputed + arr_pp_size + arr_pp_prompt + head_neck_AIS + EDH + SAH + IVH + MidlineShift + basal_cistern_compression + facial_fracture","penalty":"elasticnet","alpha":0.4,"lambda":0.04,"x_names":["Age","arr_statusComa","arr_statusDrowsy","arr_statusSemicoma","arr_statusStupor","Upper_Lower_Extremities_imputedBoth Bilateral","arr_pp_sizebilaterally mydriatic","arr_pp_promptbilateral absence","head_neck_AIS4","head_neck_AIS5","EDHpresent","SAHpresent","IVHpresent","MidlineShiftpresent","basal_cistern_compressionpresent","facial_fracturepresent"],"train_test":false,"test_prop":{},"split_seed":{}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</si>
</sst>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</row>
    <row r="10" spans="1:2" x14ac:dyDescent="0.3">
      <c r="A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15</v>
      </c>
    </row>
    <row r="14" spans="1:2" x14ac:dyDescent="0.3">
      <c r="A14" t="s">
        <v>23</v>
      </c>
    </row>
    <row r="15" spans="1:2" x14ac:dyDescent="0.3">
      <c r="A15" t="s">
        <v>24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 t="s">
        <v>28</v>
      </c>
      <c r="B2">
        <v>1827</v>
      </c>
      <c r="C2">
        <v>720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29</v>
      </c>
      <c r="B1" t="s">
        <v>1</v>
      </c>
    </row>
    <row r="2" spans="1:2" x14ac:dyDescent="0.3">
      <c r="A2" t="s">
        <v>30</v>
      </c>
      <c r="B2">
        <v>0.91639999999999999</v>
      </c>
    </row>
    <row r="3" spans="1:2" x14ac:dyDescent="0.3">
      <c r="A3" t="s">
        <v>31</v>
      </c>
      <c r="B3">
        <v>0.84460000000000002</v>
      </c>
    </row>
    <row r="4" spans="1:2" x14ac:dyDescent="0.3">
      <c r="A4" t="s">
        <v>32</v>
      </c>
      <c r="B4">
        <v>0.72640000000000005</v>
      </c>
    </row>
    <row r="5" spans="1:2" x14ac:dyDescent="0.3">
      <c r="A5" t="s">
        <v>33</v>
      </c>
      <c r="B5">
        <v>0.85740000000000005</v>
      </c>
    </row>
    <row r="6" spans="1:2" x14ac:dyDescent="0.3">
      <c r="A6" t="s">
        <v>34</v>
      </c>
      <c r="B6">
        <v>0.78649999999999998</v>
      </c>
    </row>
    <row r="7" spans="1:2" x14ac:dyDescent="0.3">
      <c r="A7" t="s">
        <v>35</v>
      </c>
      <c r="B7">
        <v>0.45500000000000002</v>
      </c>
    </row>
    <row r="8" spans="1:2" x14ac:dyDescent="0.3">
      <c r="A8" t="s">
        <v>36</v>
      </c>
      <c r="B8">
        <v>1367.4570000000001</v>
      </c>
    </row>
    <row r="9" spans="1:2" x14ac:dyDescent="0.3">
      <c r="A9" t="s">
        <v>37</v>
      </c>
      <c r="B9">
        <v>0.1113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">
      <c r="A2" t="s">
        <v>45</v>
      </c>
      <c r="B2">
        <v>-2.11967649821239E-10</v>
      </c>
      <c r="C2">
        <v>6.2238655311624799E-2</v>
      </c>
      <c r="D2">
        <v>-3.4057234810091999E-9</v>
      </c>
      <c r="E2">
        <v>0.99999999728262601</v>
      </c>
      <c r="F2">
        <v>-0.121987764622752</v>
      </c>
      <c r="G2">
        <v>0.121987764198817</v>
      </c>
    </row>
    <row r="3" spans="1:7" x14ac:dyDescent="0.3">
      <c r="A3" t="s">
        <v>46</v>
      </c>
      <c r="B3">
        <v>1.39721021510517</v>
      </c>
      <c r="C3">
        <v>6.1445194802932403E-2</v>
      </c>
      <c r="D3">
        <v>22.739129065931301</v>
      </c>
      <c r="E3">
        <v>1.83841172012576E-114</v>
      </c>
      <c r="F3">
        <v>1.27677763329142</v>
      </c>
      <c r="G3">
        <v>1.5176427969189199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50</v>
      </c>
      <c r="B2" t="s">
        <v>51</v>
      </c>
      <c r="C2">
        <v>-3.1134503114429699</v>
      </c>
    </row>
    <row r="3" spans="1:3" x14ac:dyDescent="0.3">
      <c r="A3" t="s">
        <v>50</v>
      </c>
      <c r="B3" t="s">
        <v>52</v>
      </c>
      <c r="C3">
        <v>1.87775719949448E-2</v>
      </c>
    </row>
    <row r="4" spans="1:3" x14ac:dyDescent="0.3">
      <c r="A4" t="s">
        <v>50</v>
      </c>
      <c r="B4" t="s">
        <v>53</v>
      </c>
      <c r="C4">
        <v>0.68225963553556901</v>
      </c>
    </row>
    <row r="5" spans="1:3" x14ac:dyDescent="0.3">
      <c r="A5" t="s">
        <v>50</v>
      </c>
      <c r="B5" t="s">
        <v>54</v>
      </c>
      <c r="C5">
        <v>0</v>
      </c>
    </row>
    <row r="6" spans="1:3" x14ac:dyDescent="0.3">
      <c r="A6" t="s">
        <v>50</v>
      </c>
      <c r="B6" t="s">
        <v>55</v>
      </c>
      <c r="C6">
        <v>0.674966406855948</v>
      </c>
    </row>
    <row r="7" spans="1:3" x14ac:dyDescent="0.3">
      <c r="A7" t="s">
        <v>50</v>
      </c>
      <c r="B7" t="s">
        <v>56</v>
      </c>
      <c r="C7">
        <v>0.23854008542656099</v>
      </c>
    </row>
    <row r="8" spans="1:3" x14ac:dyDescent="0.3">
      <c r="A8" t="s">
        <v>50</v>
      </c>
      <c r="B8" t="s">
        <v>57</v>
      </c>
      <c r="C8">
        <v>1.0844394357795499</v>
      </c>
    </row>
    <row r="9" spans="1:3" x14ac:dyDescent="0.3">
      <c r="A9" t="s">
        <v>50</v>
      </c>
      <c r="B9" t="s">
        <v>58</v>
      </c>
      <c r="C9">
        <v>0.39450199843037598</v>
      </c>
    </row>
    <row r="10" spans="1:3" x14ac:dyDescent="0.3">
      <c r="A10" t="s">
        <v>50</v>
      </c>
      <c r="B10" t="s">
        <v>59</v>
      </c>
      <c r="C10">
        <v>0.87347072231754797</v>
      </c>
    </row>
    <row r="11" spans="1:3" x14ac:dyDescent="0.3">
      <c r="A11" t="s">
        <v>50</v>
      </c>
      <c r="B11" t="s">
        <v>60</v>
      </c>
      <c r="C11">
        <v>3.9177125700451599E-4</v>
      </c>
    </row>
    <row r="12" spans="1:3" x14ac:dyDescent="0.3">
      <c r="A12" t="s">
        <v>50</v>
      </c>
      <c r="B12" t="s">
        <v>61</v>
      </c>
      <c r="C12">
        <v>0.989335442387974</v>
      </c>
    </row>
    <row r="13" spans="1:3" x14ac:dyDescent="0.3">
      <c r="A13" t="s">
        <v>50</v>
      </c>
      <c r="B13" t="s">
        <v>62</v>
      </c>
      <c r="C13">
        <v>-0.37269770631173998</v>
      </c>
    </row>
    <row r="14" spans="1:3" x14ac:dyDescent="0.3">
      <c r="A14" t="s">
        <v>50</v>
      </c>
      <c r="B14" t="s">
        <v>63</v>
      </c>
      <c r="C14">
        <v>0.33302959722951497</v>
      </c>
    </row>
    <row r="15" spans="1:3" x14ac:dyDescent="0.3">
      <c r="A15" t="s">
        <v>50</v>
      </c>
      <c r="B15" t="s">
        <v>64</v>
      </c>
      <c r="C15">
        <v>0.31179341622382001</v>
      </c>
    </row>
    <row r="16" spans="1:3" x14ac:dyDescent="0.3">
      <c r="A16" t="s">
        <v>50</v>
      </c>
      <c r="B16" t="s">
        <v>65</v>
      </c>
      <c r="C16">
        <v>0.48935569177234201</v>
      </c>
    </row>
    <row r="17" spans="1:3" x14ac:dyDescent="0.3">
      <c r="A17" t="s">
        <v>50</v>
      </c>
      <c r="B17" t="s">
        <v>66</v>
      </c>
      <c r="C17">
        <v>0.83216705938668101</v>
      </c>
    </row>
    <row r="18" spans="1:3" x14ac:dyDescent="0.3">
      <c r="A18" t="s">
        <v>50</v>
      </c>
      <c r="B18" t="s">
        <v>67</v>
      </c>
      <c r="C18">
        <v>-8.4215954946718394E-2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7"/>
  <sheetViews>
    <sheetView tabSelected="1" topLeftCell="G1" workbookViewId="0">
      <pane ySplit="1" topLeftCell="A2" activePane="bottomLeft" state="frozen"/>
      <selection pane="bottomLeft" activeCell="J17" sqref="J17"/>
    </sheetView>
  </sheetViews>
  <sheetFormatPr defaultColWidth="11.5546875" defaultRowHeight="14.4" x14ac:dyDescent="0.3"/>
  <sheetData>
    <row r="1" spans="1:18" x14ac:dyDescent="0.3">
      <c r="A1" t="s">
        <v>68</v>
      </c>
      <c r="B1" t="s">
        <v>69</v>
      </c>
      <c r="C1" t="s">
        <v>70</v>
      </c>
      <c r="D1" t="s">
        <v>71</v>
      </c>
      <c r="E1" t="s">
        <v>42</v>
      </c>
      <c r="F1" t="s">
        <v>72</v>
      </c>
      <c r="G1" t="s">
        <v>73</v>
      </c>
      <c r="H1" t="s">
        <v>43</v>
      </c>
      <c r="I1" t="s">
        <v>44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</row>
    <row r="2" spans="1:18" x14ac:dyDescent="0.3">
      <c r="A2" t="s">
        <v>52</v>
      </c>
      <c r="B2">
        <v>3.6996288557732501E-2</v>
      </c>
      <c r="C2">
        <v>4.7180286421277702E-3</v>
      </c>
      <c r="D2">
        <v>7.8414718018853904</v>
      </c>
      <c r="E2">
        <v>4.4529593151669599E-15</v>
      </c>
      <c r="F2" t="s">
        <v>82</v>
      </c>
      <c r="G2">
        <v>1.0376891695075701</v>
      </c>
      <c r="H2">
        <v>1.0281375405772599</v>
      </c>
      <c r="I2">
        <v>1.04732953521834</v>
      </c>
      <c r="J2" t="str">
        <f>_xlfn.CONCAT(ROUND(G2,2)," (",ROUND(H2,2),"-",ROUND(I2,2),")")</f>
        <v>1.04 (1.03-1.05)</v>
      </c>
      <c r="K2" t="s">
        <v>52</v>
      </c>
      <c r="L2">
        <v>1.1469929141858199</v>
      </c>
      <c r="M2">
        <v>1.1469929141858199</v>
      </c>
      <c r="N2">
        <v>1.1469929141858199</v>
      </c>
      <c r="O2">
        <v>66.794010970107394</v>
      </c>
      <c r="P2">
        <v>1</v>
      </c>
      <c r="Q2">
        <v>3.01412452306841E-16</v>
      </c>
      <c r="R2" t="s">
        <v>83</v>
      </c>
    </row>
    <row r="3" spans="1:18" x14ac:dyDescent="0.3">
      <c r="A3" t="s">
        <v>53</v>
      </c>
      <c r="B3">
        <v>2.0946350335224402</v>
      </c>
      <c r="C3">
        <v>0.41537830401067499</v>
      </c>
      <c r="D3">
        <v>5.0427165147956501</v>
      </c>
      <c r="E3">
        <v>4.5896896363406698E-7</v>
      </c>
      <c r="F3" t="s">
        <v>84</v>
      </c>
      <c r="G3">
        <v>8.1224759977337992</v>
      </c>
      <c r="H3">
        <v>3.59841531280285</v>
      </c>
      <c r="I3">
        <v>18.3343529300328</v>
      </c>
      <c r="J3" t="str">
        <f t="shared" ref="J3:J17" si="0">_xlfn.CONCAT(ROUND(G3,2)," (",ROUND(H3,2),"-",ROUND(I3,2),")")</f>
        <v>8.12 (3.6-18.33)</v>
      </c>
      <c r="K3" t="s">
        <v>85</v>
      </c>
      <c r="L3">
        <v>2.2898772089936199</v>
      </c>
      <c r="M3">
        <v>3.0349461998101099</v>
      </c>
      <c r="N3">
        <v>3.0349461998101099</v>
      </c>
      <c r="O3">
        <v>53.708527028242301</v>
      </c>
      <c r="P3">
        <v>4</v>
      </c>
      <c r="Q3">
        <v>6.0566603568839106E-11</v>
      </c>
      <c r="R3" t="s">
        <v>86</v>
      </c>
    </row>
    <row r="4" spans="1:18" x14ac:dyDescent="0.3">
      <c r="A4" t="s">
        <v>54</v>
      </c>
      <c r="B4">
        <v>0.67696882308206496</v>
      </c>
      <c r="C4">
        <v>0.23952859286158601</v>
      </c>
      <c r="D4">
        <v>2.82625474894038</v>
      </c>
      <c r="E4">
        <v>4.70957927859267E-3</v>
      </c>
      <c r="F4" t="s">
        <v>87</v>
      </c>
      <c r="G4">
        <v>1.96790361848173</v>
      </c>
      <c r="H4">
        <v>1.2305888332775099</v>
      </c>
      <c r="I4">
        <v>3.1469850423713099</v>
      </c>
      <c r="J4" t="str">
        <f t="shared" si="0"/>
        <v>1.97 (1.23-3.15)</v>
      </c>
      <c r="K4" t="s">
        <v>85</v>
      </c>
      <c r="L4">
        <v>2.2898772089936199</v>
      </c>
      <c r="M4">
        <v>3.0349461998101099</v>
      </c>
      <c r="N4">
        <v>1.623889604183</v>
      </c>
      <c r="O4">
        <v>53.708527028242301</v>
      </c>
      <c r="P4">
        <v>4</v>
      </c>
      <c r="Q4">
        <v>6.0566603568839106E-11</v>
      </c>
      <c r="R4" t="s">
        <v>86</v>
      </c>
    </row>
    <row r="5" spans="1:18" x14ac:dyDescent="0.3">
      <c r="A5" t="s">
        <v>55</v>
      </c>
      <c r="B5">
        <v>1.89795494553271</v>
      </c>
      <c r="C5">
        <v>0.28211849134978301</v>
      </c>
      <c r="D5">
        <v>6.7275099071033502</v>
      </c>
      <c r="E5">
        <v>1.7259108673883701E-11</v>
      </c>
      <c r="F5" t="s">
        <v>88</v>
      </c>
      <c r="G5">
        <v>6.6722353954900804</v>
      </c>
      <c r="H5">
        <v>3.8381969132637299</v>
      </c>
      <c r="I5">
        <v>11.598864305003801</v>
      </c>
      <c r="J5" t="str">
        <f t="shared" si="0"/>
        <v>6.67 (3.84-11.6)</v>
      </c>
      <c r="K5" t="s">
        <v>85</v>
      </c>
      <c r="L5">
        <v>2.2898772089936199</v>
      </c>
      <c r="M5">
        <v>3.0349461998101099</v>
      </c>
      <c r="N5">
        <v>2.77928693254109</v>
      </c>
      <c r="O5">
        <v>53.708527028242301</v>
      </c>
      <c r="P5">
        <v>4</v>
      </c>
      <c r="Q5">
        <v>6.0566603568839106E-11</v>
      </c>
      <c r="R5" t="s">
        <v>86</v>
      </c>
    </row>
    <row r="6" spans="1:18" x14ac:dyDescent="0.3">
      <c r="A6" t="s">
        <v>56</v>
      </c>
      <c r="B6">
        <v>1.3020836942865499</v>
      </c>
      <c r="C6">
        <v>0.26154426231136602</v>
      </c>
      <c r="D6">
        <v>4.9784448826349497</v>
      </c>
      <c r="E6">
        <v>6.40971906005784E-7</v>
      </c>
      <c r="F6" t="s">
        <v>89</v>
      </c>
      <c r="G6">
        <v>3.6769503312996599</v>
      </c>
      <c r="H6">
        <v>2.20220017498445</v>
      </c>
      <c r="I6">
        <v>6.1392982765248396</v>
      </c>
      <c r="J6" t="str">
        <f t="shared" si="0"/>
        <v>3.68 (2.2-6.14)</v>
      </c>
      <c r="K6" t="s">
        <v>85</v>
      </c>
      <c r="L6">
        <v>2.2898772089936199</v>
      </c>
      <c r="M6">
        <v>3.0349461998101099</v>
      </c>
      <c r="N6">
        <v>1.7213860994402601</v>
      </c>
      <c r="O6">
        <v>53.708527028242301</v>
      </c>
      <c r="P6">
        <v>4</v>
      </c>
      <c r="Q6">
        <v>6.0566603568839106E-11</v>
      </c>
      <c r="R6" t="s">
        <v>86</v>
      </c>
    </row>
    <row r="7" spans="1:18" x14ac:dyDescent="0.3">
      <c r="A7" t="s">
        <v>57</v>
      </c>
      <c r="B7">
        <v>1.0098034279860499</v>
      </c>
      <c r="C7">
        <v>0.216948778646471</v>
      </c>
      <c r="D7">
        <v>4.6545706976833303</v>
      </c>
      <c r="E7">
        <v>3.24656429444531E-6</v>
      </c>
      <c r="F7" t="s">
        <v>90</v>
      </c>
      <c r="G7">
        <v>2.7450613597381901</v>
      </c>
      <c r="H7">
        <v>1.7942441050209099</v>
      </c>
      <c r="I7">
        <v>4.1997417450842898</v>
      </c>
      <c r="J7" t="str">
        <f t="shared" si="0"/>
        <v>2.75 (1.79-4.2)</v>
      </c>
      <c r="K7" t="s">
        <v>91</v>
      </c>
      <c r="L7">
        <v>2.65120793632568</v>
      </c>
      <c r="M7">
        <v>2.65120793632568</v>
      </c>
      <c r="N7">
        <v>2.65120793632568</v>
      </c>
      <c r="O7">
        <v>22.0982597690302</v>
      </c>
      <c r="P7">
        <v>1</v>
      </c>
      <c r="Q7">
        <v>2.5904447191169701E-6</v>
      </c>
      <c r="R7" t="s">
        <v>92</v>
      </c>
    </row>
    <row r="8" spans="1:18" x14ac:dyDescent="0.3">
      <c r="A8" t="s">
        <v>58</v>
      </c>
      <c r="B8">
        <v>1.2238257067904199</v>
      </c>
      <c r="C8">
        <v>0.484170835117466</v>
      </c>
      <c r="D8">
        <v>2.5276733293807401</v>
      </c>
      <c r="E8">
        <v>1.1482113158655501E-2</v>
      </c>
      <c r="F8" t="s">
        <v>93</v>
      </c>
      <c r="G8">
        <v>3.4001709398692199</v>
      </c>
      <c r="H8">
        <v>1.3163343552346001</v>
      </c>
      <c r="I8">
        <v>8.7828463751298305</v>
      </c>
      <c r="J8" t="str">
        <f t="shared" si="0"/>
        <v>3.4 (1.32-8.78)</v>
      </c>
      <c r="K8" t="s">
        <v>94</v>
      </c>
      <c r="L8">
        <v>1.45634091965487</v>
      </c>
      <c r="M8">
        <v>1.45634091965487</v>
      </c>
      <c r="N8">
        <v>1.45634091965487</v>
      </c>
      <c r="O8">
        <v>7.3565153647982697</v>
      </c>
      <c r="P8">
        <v>1</v>
      </c>
      <c r="Q8">
        <v>6.6820167947675502E-3</v>
      </c>
      <c r="R8" t="s">
        <v>95</v>
      </c>
    </row>
    <row r="9" spans="1:18" x14ac:dyDescent="0.3">
      <c r="A9" t="s">
        <v>59</v>
      </c>
      <c r="B9">
        <v>0.93280847386163301</v>
      </c>
      <c r="C9">
        <v>0.230598050584887</v>
      </c>
      <c r="D9">
        <v>4.0451706833412704</v>
      </c>
      <c r="E9">
        <v>5.2285016424864498E-5</v>
      </c>
      <c r="F9" t="s">
        <v>96</v>
      </c>
      <c r="G9">
        <v>2.5416372852619999</v>
      </c>
      <c r="H9">
        <v>1.61742648196469</v>
      </c>
      <c r="I9">
        <v>3.9939497478655999</v>
      </c>
      <c r="J9" t="str">
        <f t="shared" si="0"/>
        <v>2.54 (1.62-3.99)</v>
      </c>
      <c r="K9" t="s">
        <v>97</v>
      </c>
      <c r="L9">
        <v>2.0082317676442001</v>
      </c>
      <c r="M9">
        <v>2.0082317676442001</v>
      </c>
      <c r="N9">
        <v>2.0082317676442001</v>
      </c>
      <c r="O9">
        <v>16.906546064699601</v>
      </c>
      <c r="P9">
        <v>1</v>
      </c>
      <c r="Q9">
        <v>3.9265937012100198E-5</v>
      </c>
      <c r="R9" t="s">
        <v>98</v>
      </c>
    </row>
    <row r="10" spans="1:18" x14ac:dyDescent="0.3">
      <c r="A10" t="s">
        <v>60</v>
      </c>
      <c r="B10">
        <v>0.47795278432284599</v>
      </c>
      <c r="C10">
        <v>0.20777887788407901</v>
      </c>
      <c r="D10">
        <v>2.3002953389203502</v>
      </c>
      <c r="E10">
        <v>2.1431493571726402E-2</v>
      </c>
      <c r="F10" t="s">
        <v>99</v>
      </c>
      <c r="G10">
        <v>1.61276933358973</v>
      </c>
      <c r="H10">
        <v>1.0732658365082099</v>
      </c>
      <c r="I10">
        <v>2.4234675463347299</v>
      </c>
      <c r="J10" t="str">
        <f t="shared" si="0"/>
        <v>1.61 (1.07-2.42)</v>
      </c>
      <c r="K10" t="s">
        <v>100</v>
      </c>
      <c r="L10">
        <v>1.93247943890496</v>
      </c>
      <c r="M10">
        <v>2.38519497412915</v>
      </c>
      <c r="N10">
        <v>1.4797639036807599</v>
      </c>
      <c r="O10">
        <v>66.197808266506897</v>
      </c>
      <c r="P10">
        <v>2</v>
      </c>
      <c r="Q10">
        <v>4.2201567067409302E-15</v>
      </c>
      <c r="R10" t="s">
        <v>101</v>
      </c>
    </row>
    <row r="11" spans="1:18" x14ac:dyDescent="0.3">
      <c r="A11" t="s">
        <v>61</v>
      </c>
      <c r="B11">
        <v>1.5907010111770199</v>
      </c>
      <c r="C11">
        <v>0.20991174994693099</v>
      </c>
      <c r="D11">
        <v>7.5779512656112704</v>
      </c>
      <c r="E11">
        <v>3.5105420739206698E-14</v>
      </c>
      <c r="F11" t="s">
        <v>102</v>
      </c>
      <c r="G11">
        <v>4.90718771630827</v>
      </c>
      <c r="H11">
        <v>3.25201232378783</v>
      </c>
      <c r="I11">
        <v>7.4047970565617804</v>
      </c>
      <c r="J11" t="str">
        <f t="shared" si="0"/>
        <v>4.91 (3.25-7.4)</v>
      </c>
      <c r="K11" t="s">
        <v>100</v>
      </c>
      <c r="L11">
        <v>1.93247943890496</v>
      </c>
      <c r="M11">
        <v>2.38519497412915</v>
      </c>
      <c r="N11">
        <v>2.38519497412915</v>
      </c>
      <c r="O11">
        <v>66.197808266506897</v>
      </c>
      <c r="P11">
        <v>2</v>
      </c>
      <c r="Q11">
        <v>4.2201567067409302E-15</v>
      </c>
      <c r="R11" t="s">
        <v>101</v>
      </c>
    </row>
    <row r="12" spans="1:18" x14ac:dyDescent="0.3">
      <c r="A12" t="s">
        <v>62</v>
      </c>
      <c r="B12">
        <v>-0.86422466833499101</v>
      </c>
      <c r="C12">
        <v>0.17208283379832501</v>
      </c>
      <c r="D12">
        <v>-5.0221434018679201</v>
      </c>
      <c r="E12">
        <v>5.1098008316320601E-7</v>
      </c>
      <c r="F12" t="s">
        <v>103</v>
      </c>
      <c r="G12">
        <v>0.42137813381668299</v>
      </c>
      <c r="H12">
        <v>0.30074064728588101</v>
      </c>
      <c r="I12">
        <v>0.59040749317149599</v>
      </c>
      <c r="J12" t="str">
        <f t="shared" si="0"/>
        <v>0.42 (0.3-0.59)</v>
      </c>
      <c r="K12" t="s">
        <v>104</v>
      </c>
      <c r="L12">
        <v>1.1307381278556099</v>
      </c>
      <c r="M12">
        <v>1.1307381278556099</v>
      </c>
      <c r="N12">
        <v>1.1307381278556099</v>
      </c>
      <c r="O12">
        <v>26.340637349542199</v>
      </c>
      <c r="P12">
        <v>1</v>
      </c>
      <c r="Q12">
        <v>2.8620293631424998E-7</v>
      </c>
      <c r="R12" t="s">
        <v>105</v>
      </c>
    </row>
    <row r="13" spans="1:18" x14ac:dyDescent="0.3">
      <c r="A13" t="s">
        <v>63</v>
      </c>
      <c r="B13">
        <v>0.44607374555277601</v>
      </c>
      <c r="C13">
        <v>0.172558594679664</v>
      </c>
      <c r="D13">
        <v>2.5850566665825099</v>
      </c>
      <c r="E13">
        <v>9.7362994143395006E-3</v>
      </c>
      <c r="F13" t="s">
        <v>106</v>
      </c>
      <c r="G13">
        <v>1.5621666651302499</v>
      </c>
      <c r="H13">
        <v>1.11389056431741</v>
      </c>
      <c r="I13">
        <v>2.1908477976376601</v>
      </c>
      <c r="J13" t="str">
        <f t="shared" si="0"/>
        <v>1.56 (1.11-2.19)</v>
      </c>
      <c r="K13" t="s">
        <v>107</v>
      </c>
      <c r="L13">
        <v>1.21453845757172</v>
      </c>
      <c r="M13">
        <v>1.21453845757172</v>
      </c>
      <c r="N13">
        <v>1.21453845757172</v>
      </c>
      <c r="O13">
        <v>6.7625084100018302</v>
      </c>
      <c r="P13">
        <v>1</v>
      </c>
      <c r="Q13">
        <v>9.3092809932437993E-3</v>
      </c>
      <c r="R13" t="s">
        <v>108</v>
      </c>
    </row>
    <row r="14" spans="1:18" x14ac:dyDescent="0.3">
      <c r="A14" t="s">
        <v>64</v>
      </c>
      <c r="B14">
        <v>0.39520771733906501</v>
      </c>
      <c r="C14">
        <v>0.20829492066259001</v>
      </c>
      <c r="D14">
        <v>1.8973468775998099</v>
      </c>
      <c r="E14">
        <v>5.7782171834150103E-2</v>
      </c>
      <c r="F14" t="s">
        <v>109</v>
      </c>
      <c r="G14">
        <v>1.48469255528041</v>
      </c>
      <c r="H14">
        <v>0.98703445912950805</v>
      </c>
      <c r="I14">
        <v>2.23326750481346</v>
      </c>
      <c r="J14" t="str">
        <f t="shared" si="0"/>
        <v>1.48 (0.99-2.23)</v>
      </c>
      <c r="K14" t="s">
        <v>110</v>
      </c>
      <c r="L14">
        <v>1.14125237661868</v>
      </c>
      <c r="M14">
        <v>1.14125237661868</v>
      </c>
      <c r="N14">
        <v>1.14125237661868</v>
      </c>
      <c r="O14">
        <v>3.60730923701249</v>
      </c>
      <c r="P14">
        <v>1</v>
      </c>
      <c r="Q14">
        <v>5.75261240365251E-2</v>
      </c>
      <c r="R14" t="s">
        <v>111</v>
      </c>
    </row>
    <row r="15" spans="1:18" x14ac:dyDescent="0.3">
      <c r="A15" t="s">
        <v>65</v>
      </c>
      <c r="B15">
        <v>0.52461960418148701</v>
      </c>
      <c r="C15">
        <v>0.192176650244445</v>
      </c>
      <c r="D15">
        <v>2.7298821345578799</v>
      </c>
      <c r="E15">
        <v>6.3356973020226503E-3</v>
      </c>
      <c r="F15" t="s">
        <v>112</v>
      </c>
      <c r="G15">
        <v>1.6898159271918201</v>
      </c>
      <c r="H15">
        <v>1.15945882919211</v>
      </c>
      <c r="I15">
        <v>2.4627677981293998</v>
      </c>
      <c r="J15" t="str">
        <f t="shared" si="0"/>
        <v>1.69 (1.16-2.46)</v>
      </c>
      <c r="K15" t="s">
        <v>113</v>
      </c>
      <c r="L15">
        <v>1.4639240229688999</v>
      </c>
      <c r="M15">
        <v>1.4639240229688999</v>
      </c>
      <c r="N15">
        <v>1.4639240229688999</v>
      </c>
      <c r="O15">
        <v>7.4679945773932603</v>
      </c>
      <c r="P15">
        <v>1</v>
      </c>
      <c r="Q15">
        <v>6.2805473233333896E-3</v>
      </c>
      <c r="R15" t="s">
        <v>114</v>
      </c>
    </row>
    <row r="16" spans="1:18" x14ac:dyDescent="0.3">
      <c r="A16" t="s">
        <v>66</v>
      </c>
      <c r="B16">
        <v>1.0706262228002399</v>
      </c>
      <c r="C16">
        <v>0.18817161026117299</v>
      </c>
      <c r="D16">
        <v>5.6896267259139801</v>
      </c>
      <c r="E16">
        <v>1.27317374167008E-8</v>
      </c>
      <c r="F16" t="s">
        <v>115</v>
      </c>
      <c r="G16">
        <v>2.9172057488508898</v>
      </c>
      <c r="H16">
        <v>2.0174006315466499</v>
      </c>
      <c r="I16">
        <v>4.2183437677445399</v>
      </c>
      <c r="J16" t="str">
        <f t="shared" si="0"/>
        <v>2.92 (2.02-4.22)</v>
      </c>
      <c r="K16" t="s">
        <v>116</v>
      </c>
      <c r="L16">
        <v>1.2700551100197199</v>
      </c>
      <c r="M16">
        <v>1.2700551100197199</v>
      </c>
      <c r="N16">
        <v>1.2700551100197199</v>
      </c>
      <c r="O16">
        <v>33.2198224712658</v>
      </c>
      <c r="P16">
        <v>1</v>
      </c>
      <c r="Q16">
        <v>8.2307206626894408E-9</v>
      </c>
      <c r="R16" t="s">
        <v>117</v>
      </c>
    </row>
    <row r="17" spans="1:18" x14ac:dyDescent="0.3">
      <c r="A17" t="s">
        <v>67</v>
      </c>
      <c r="B17">
        <v>-0.31924380396103502</v>
      </c>
      <c r="C17">
        <v>0.16429802362403501</v>
      </c>
      <c r="D17">
        <v>-1.9430775667245099</v>
      </c>
      <c r="E17">
        <v>5.20067870585137E-2</v>
      </c>
      <c r="F17" t="s">
        <v>118</v>
      </c>
      <c r="G17">
        <v>0.72669835576935804</v>
      </c>
      <c r="H17">
        <v>0.52662427769155296</v>
      </c>
      <c r="I17">
        <v>1.0027841910227999</v>
      </c>
      <c r="J17" t="str">
        <f t="shared" si="0"/>
        <v>0.73 (0.53-1)</v>
      </c>
      <c r="K17" t="s">
        <v>119</v>
      </c>
      <c r="L17">
        <v>1.06090448497976</v>
      </c>
      <c r="M17">
        <v>1.06090448497976</v>
      </c>
      <c r="N17">
        <v>1.06090448497976</v>
      </c>
      <c r="O17">
        <v>3.8170697891655401</v>
      </c>
      <c r="P17">
        <v>1</v>
      </c>
      <c r="Q17">
        <v>5.0732887673761502E-2</v>
      </c>
      <c r="R17" t="s">
        <v>120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121</v>
      </c>
    </row>
    <row r="2" spans="1:1" x14ac:dyDescent="0.3">
      <c r="A2" t="s">
        <v>122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2025-10-13T06:27:46Z</dcterms:created>
  <dcterms:modified xsi:type="dcterms:W3CDTF">2025-10-15T03:48:52Z</dcterms:modified>
</cp:coreProperties>
</file>