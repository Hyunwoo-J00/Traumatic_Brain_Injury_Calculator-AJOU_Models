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Death\Full\Alternative\"/>
    </mc:Choice>
  </mc:AlternateContent>
  <xr:revisionPtr revIDLastSave="0" documentId="13_ncr:1_{E241DB3B-D186-4C3F-AC61-27210EC8766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</calcChain>
</file>

<file path=xl/sharedStrings.xml><?xml version="1.0" encoding="utf-8"?>
<sst xmlns="http://schemas.openxmlformats.org/spreadsheetml/2006/main" count="333" uniqueCount="159">
  <si>
    <t>Item</t>
  </si>
  <si>
    <t>Value</t>
  </si>
  <si>
    <t>Formula</t>
  </si>
  <si>
    <t>`14d_death` ~ Age + arr_GCS_derived + InjuryHx.InjCause + arr_pp_size + arr_pp_prompt + head_neck_AIS + EDH + SAH + DAI + ns(aPTT, df = 4) + ns(CRP, df = 4) + ns(AST, df = 4) + ns(Platelet, df = 4) + ns(Sodium, df = 4)</t>
  </si>
  <si>
    <t>N_total</t>
  </si>
  <si>
    <t>2889</t>
  </si>
  <si>
    <t>Pos_Level</t>
  </si>
  <si>
    <t>1</t>
  </si>
  <si>
    <t>Penalty</t>
  </si>
  <si>
    <t>lasso</t>
  </si>
  <si>
    <t>Alpha</t>
  </si>
  <si>
    <t>Lambda_Chosen</t>
  </si>
  <si>
    <t>0.0071024828950115</t>
  </si>
  <si>
    <t>Use_CV</t>
  </si>
  <si>
    <t>TRUE</t>
  </si>
  <si>
    <t>Choose</t>
  </si>
  <si>
    <t>lambda.1se</t>
  </si>
  <si>
    <t>nfolds</t>
  </si>
  <si>
    <t>10</t>
  </si>
  <si>
    <t>Threshold</t>
  </si>
  <si>
    <t>0.5</t>
  </si>
  <si>
    <t>Standardize</t>
  </si>
  <si>
    <t>Train_Test</t>
  </si>
  <si>
    <t>FALSE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</si>
  <si>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</si>
  <si>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</si>
  <si>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</si>
  <si>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</si>
  <si>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</si>
  <si>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</si>
  <si>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</si>
  <si>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</si>
  <si>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</si>
  <si>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</si>
  <si>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</si>
  <si>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</si>
  <si>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</si>
  <si>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</si>
  <si>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</si>
  <si>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</si>
  <si>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</si>
  <si>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</si>
  <si>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</si>
  <si>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</si>
  <si>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</si>
  <si>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</si>
  <si>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</si>
  <si>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</si>
  <si>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</si>
  <si>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</si>
  <si>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</si>
  <si>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lambda.min</t>
  </si>
  <si>
    <t>(Intercept)</t>
  </si>
  <si>
    <t>Age</t>
  </si>
  <si>
    <t>arr_GCS_derived</t>
  </si>
  <si>
    <t>InjuryHx.InjCause1</t>
  </si>
  <si>
    <t>InjuryHx.InjCause3</t>
  </si>
  <si>
    <t>InjuryHx.InjCause88</t>
  </si>
  <si>
    <t>arr_pp_sizebilaterally mydriatic</t>
  </si>
  <si>
    <t>arr_pp_promptbilateral absence</t>
  </si>
  <si>
    <t>head_neck_AIS4</t>
  </si>
  <si>
    <t>head_neck_AIS5</t>
  </si>
  <si>
    <t>EDHpresent</t>
  </si>
  <si>
    <t>SAHpresent</t>
  </si>
  <si>
    <t>DAIpresent</t>
  </si>
  <si>
    <t>ns(aPTT, df = 4)1</t>
  </si>
  <si>
    <t>ns(aPTT, df = 4)2</t>
  </si>
  <si>
    <t>ns(aPTT, df = 4)3</t>
  </si>
  <si>
    <t>ns(aPTT, df = 4)4</t>
  </si>
  <si>
    <t>ns(CRP, df = 4)1</t>
  </si>
  <si>
    <t>ns(CRP, df = 4)2</t>
  </si>
  <si>
    <t>ns(CRP, df = 4)3</t>
  </si>
  <si>
    <t>ns(CRP, df = 4)4</t>
  </si>
  <si>
    <t>ns(AST, df = 4)1</t>
  </si>
  <si>
    <t>ns(AST, df = 4)2</t>
  </si>
  <si>
    <t>ns(AST, df = 4)3</t>
  </si>
  <si>
    <t>ns(AST, df = 4)4</t>
  </si>
  <si>
    <t>ns(Platelet, df = 4)1</t>
  </si>
  <si>
    <t>ns(Platelet, df = 4)2</t>
  </si>
  <si>
    <t>ns(Platelet, df = 4)3</t>
  </si>
  <si>
    <t>ns(Platelet, df = 4)4</t>
  </si>
  <si>
    <t>ns(Sodium, df = 4)1</t>
  </si>
  <si>
    <t>ns(Sodium, df = 4)2</t>
  </si>
  <si>
    <t>ns(Sodium, df = 4)3</t>
  </si>
  <si>
    <t>ns(Sodium, df = 4)4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</si>
  <si>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</si>
  <si>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</si>
  <si>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</si>
  <si>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</si>
  <si>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</si>
  <si>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</si>
  <si>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</si>
  <si>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</si>
  <si>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</si>
  <si>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</si>
  <si>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</si>
  <si>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</si>
  <si>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</si>
  <si>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</si>
  <si>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1.69e-06</t>
  </si>
  <si>
    <t>9.51e-07</t>
  </si>
  <si>
    <t>1.74e-06</t>
  </si>
  <si>
    <t>1.35e-06</t>
  </si>
  <si>
    <t>0.138</t>
  </si>
  <si>
    <t>InjuryHx.InjCause</t>
  </si>
  <si>
    <t>0.0105</t>
  </si>
  <si>
    <t>0.121</t>
  </si>
  <si>
    <t>0.028</t>
  </si>
  <si>
    <t>0.0125</t>
  </si>
  <si>
    <t>arr_pp_size</t>
  </si>
  <si>
    <t>0.0119</t>
  </si>
  <si>
    <t>9.4e-11</t>
  </si>
  <si>
    <t>arr_pp_prompt</t>
  </si>
  <si>
    <t>1.01e-10</t>
  </si>
  <si>
    <t>0.00124</t>
  </si>
  <si>
    <t>head_neck_AIS</t>
  </si>
  <si>
    <t>4.65e-16</t>
  </si>
  <si>
    <t>3.72e-11</t>
  </si>
  <si>
    <t>1.43e-07</t>
  </si>
  <si>
    <t>EDH</t>
  </si>
  <si>
    <t>4.08e-08</t>
  </si>
  <si>
    <t>0.00139</t>
  </si>
  <si>
    <t>SAH</t>
  </si>
  <si>
    <t>0.00103</t>
  </si>
  <si>
    <t>0.0138</t>
  </si>
  <si>
    <t>DAI</t>
  </si>
  <si>
    <t>0.00207</t>
  </si>
  <si>
    <t>0.279</t>
  </si>
  <si>
    <t>ns(aPTT, df = 4)</t>
  </si>
  <si>
    <t>8.01e-14</t>
  </si>
  <si>
    <t>0.000251</t>
  </si>
  <si>
    <t>0.15</t>
  </si>
  <si>
    <t>6.2e-05</t>
  </si>
  <si>
    <t>ns(CRP, df = 4)</t>
  </si>
  <si>
    <t>4.79e-08</t>
  </si>
  <si>
    <t>3.79e-05</t>
  </si>
  <si>
    <t>0.498</t>
  </si>
  <si>
    <t>0.00188</t>
  </si>
  <si>
    <t>0.00227</t>
  </si>
  <si>
    <t>ns(AST, df = 4)</t>
  </si>
  <si>
    <t>0.000522</t>
  </si>
  <si>
    <t>0.00173</t>
  </si>
  <si>
    <t>0.0106</t>
  </si>
  <si>
    <t>0.0113</t>
  </si>
  <si>
    <t>0.296</t>
  </si>
  <si>
    <t>ns(Platelet, df = 4)</t>
  </si>
  <si>
    <t>0.00669</t>
  </si>
  <si>
    <t>0.575</t>
  </si>
  <si>
    <t>0.0227</t>
  </si>
  <si>
    <t>0.027</t>
  </si>
  <si>
    <t>0.0183</t>
  </si>
  <si>
    <t>ns(Sodium, df = 4)</t>
  </si>
  <si>
    <t>0.0038</t>
  </si>
  <si>
    <t>0.205</t>
  </si>
  <si>
    <t>0.516</t>
  </si>
  <si>
    <t>0.00658</t>
  </si>
  <si>
    <t>JSON</t>
  </si>
  <si>
    <t>{"formula":"`14d_death` ~ Age + arr_GCS_derived + InjuryHx.InjCause + arr_pp_size + arr_pp_prompt + head_neck_AIS + EDH + SAH + DAI + ns(aPTT, df = 4) + ns(CRP, df = 4) + ns(AST, df = 4) + ns(Platelet, df = 4) + ns(Sodium, df = 4)","penalty":"lasso","alpha":1,"lambda":0.0071,"x_names":["Age","arr_GCS_derived","InjuryHx.InjCause1","InjuryHx.InjCause3","InjuryHx.InjCause88","arr_pp_sizebilaterally mydriatic","arr_pp_promptbilateral absence","head_neck_AIS4","head_neck_AIS5","EDHpresent","SAHpresent","DAIpresent","ns(aPTT, df = 4)1","ns(aPTT, df = 4)2","ns(aPTT, df = 4)3","ns(aPTT, df = 4)4","ns(CRP, df = 4)1","ns(CRP, df = 4)2","ns(CRP, df = 4)3","ns(CRP, df = 4)4","ns(AST, df = 4)1","ns(AST, df = 4)2","ns(AST, df = 4)3","ns(AST, df = 4)4","ns(Platelet, df = 4)1","ns(Platelet, df = 4)2","ns(Platelet, df = 4)3","ns(Platelet, df = 4)4","ns(Sodium, df = 4)1","ns(Sodium, df = 4)2","ns(Sodium, df = 4)3","ns(Sodium, df = 4)4"],"train_test":false,"test_prop":{},"split_seed":{},"standardize":true,"threshold":0.5,"family":"binomial","link":"logit"}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</si>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</sst>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14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</row>
    <row r="15" spans="1:2" x14ac:dyDescent="0.3">
      <c r="A15" t="s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 t="s">
        <v>29</v>
      </c>
      <c r="B2">
        <v>2889</v>
      </c>
      <c r="C2">
        <v>373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30</v>
      </c>
      <c r="B1" t="s">
        <v>1</v>
      </c>
    </row>
    <row r="2" spans="1:2" x14ac:dyDescent="0.3">
      <c r="A2" t="s">
        <v>31</v>
      </c>
      <c r="B2">
        <v>0.92249999999999999</v>
      </c>
    </row>
    <row r="3" spans="1:2" x14ac:dyDescent="0.3">
      <c r="A3" t="s">
        <v>32</v>
      </c>
      <c r="B3">
        <v>0.91420000000000001</v>
      </c>
    </row>
    <row r="4" spans="1:2" x14ac:dyDescent="0.3">
      <c r="A4" t="s">
        <v>33</v>
      </c>
      <c r="B4">
        <v>0.50670000000000004</v>
      </c>
    </row>
    <row r="5" spans="1:2" x14ac:dyDescent="0.3">
      <c r="A5" t="s">
        <v>34</v>
      </c>
      <c r="B5">
        <v>0.747</v>
      </c>
    </row>
    <row r="6" spans="1:2" x14ac:dyDescent="0.3">
      <c r="A6" t="s">
        <v>35</v>
      </c>
      <c r="B6">
        <v>0.6038</v>
      </c>
    </row>
    <row r="7" spans="1:2" x14ac:dyDescent="0.3">
      <c r="A7" t="s">
        <v>36</v>
      </c>
      <c r="B7">
        <v>0.4405</v>
      </c>
    </row>
    <row r="8" spans="1:2" x14ac:dyDescent="0.3">
      <c r="A8" t="s">
        <v>37</v>
      </c>
      <c r="B8">
        <v>1289.617</v>
      </c>
    </row>
    <row r="9" spans="1:2" x14ac:dyDescent="0.3">
      <c r="A9" t="s">
        <v>38</v>
      </c>
      <c r="B9">
        <v>6.3100000000000003E-2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46</v>
      </c>
      <c r="B2">
        <v>-1.00990143615978E-7</v>
      </c>
      <c r="C2">
        <v>6.9790509612712104E-2</v>
      </c>
      <c r="D2">
        <v>-1.4470469434368901E-6</v>
      </c>
      <c r="E2">
        <v>0.99999884542358497</v>
      </c>
      <c r="F2">
        <v>-0.13678949983105901</v>
      </c>
      <c r="G2">
        <v>0.13678929785077201</v>
      </c>
    </row>
    <row r="3" spans="1:7" x14ac:dyDescent="0.3">
      <c r="A3" t="s">
        <v>47</v>
      </c>
      <c r="B3">
        <v>1.1865253386774099</v>
      </c>
      <c r="C3">
        <v>5.2040248125198897E-2</v>
      </c>
      <c r="D3">
        <v>22.8001476054237</v>
      </c>
      <c r="E3">
        <v>4.5696994539867196E-115</v>
      </c>
      <c r="F3">
        <v>1.0845264523520199</v>
      </c>
      <c r="G3">
        <v>1.2885242250027999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51</v>
      </c>
      <c r="B2" t="s">
        <v>52</v>
      </c>
      <c r="C2">
        <v>-5.3089428731787596</v>
      </c>
    </row>
    <row r="3" spans="1:3" x14ac:dyDescent="0.3">
      <c r="A3" t="s">
        <v>51</v>
      </c>
      <c r="B3" t="s">
        <v>53</v>
      </c>
      <c r="C3">
        <v>2.5266076485599202E-2</v>
      </c>
    </row>
    <row r="4" spans="1:3" x14ac:dyDescent="0.3">
      <c r="A4" t="s">
        <v>51</v>
      </c>
      <c r="B4" t="s">
        <v>54</v>
      </c>
      <c r="C4">
        <v>-0.11175917400711501</v>
      </c>
    </row>
    <row r="5" spans="1:3" x14ac:dyDescent="0.3">
      <c r="A5" t="s">
        <v>51</v>
      </c>
      <c r="B5" t="s">
        <v>55</v>
      </c>
      <c r="C5">
        <v>0.21975599255127101</v>
      </c>
    </row>
    <row r="6" spans="1:3" x14ac:dyDescent="0.3">
      <c r="A6" t="s">
        <v>51</v>
      </c>
      <c r="B6" t="s">
        <v>56</v>
      </c>
      <c r="C6">
        <v>0.52997603687329398</v>
      </c>
    </row>
    <row r="7" spans="1:3" x14ac:dyDescent="0.3">
      <c r="A7" t="s">
        <v>51</v>
      </c>
      <c r="B7" t="s">
        <v>57</v>
      </c>
      <c r="C7">
        <v>-0.679959744263118</v>
      </c>
    </row>
    <row r="8" spans="1:3" x14ac:dyDescent="0.3">
      <c r="A8" t="s">
        <v>51</v>
      </c>
      <c r="B8" t="s">
        <v>58</v>
      </c>
      <c r="C8">
        <v>0.59650823420333898</v>
      </c>
    </row>
    <row r="9" spans="1:3" x14ac:dyDescent="0.3">
      <c r="A9" t="s">
        <v>51</v>
      </c>
      <c r="B9" t="s">
        <v>59</v>
      </c>
      <c r="C9">
        <v>1.2265568704593699</v>
      </c>
    </row>
    <row r="10" spans="1:3" x14ac:dyDescent="0.3">
      <c r="A10" t="s">
        <v>51</v>
      </c>
      <c r="B10" t="s">
        <v>60</v>
      </c>
      <c r="C10">
        <v>0.988056946924878</v>
      </c>
    </row>
    <row r="11" spans="1:3" x14ac:dyDescent="0.3">
      <c r="A11" t="s">
        <v>51</v>
      </c>
      <c r="B11" t="s">
        <v>61</v>
      </c>
      <c r="C11">
        <v>2.0063019943701499</v>
      </c>
    </row>
    <row r="12" spans="1:3" x14ac:dyDescent="0.3">
      <c r="A12" t="s">
        <v>51</v>
      </c>
      <c r="B12" t="s">
        <v>62</v>
      </c>
      <c r="C12">
        <v>-0.99973817676301102</v>
      </c>
    </row>
    <row r="13" spans="1:3" x14ac:dyDescent="0.3">
      <c r="A13" t="s">
        <v>51</v>
      </c>
      <c r="B13" t="s">
        <v>63</v>
      </c>
      <c r="C13">
        <v>0.659428030650824</v>
      </c>
    </row>
    <row r="14" spans="1:3" x14ac:dyDescent="0.3">
      <c r="A14" t="s">
        <v>51</v>
      </c>
      <c r="B14" t="s">
        <v>64</v>
      </c>
      <c r="C14">
        <v>-1.7812498999650599</v>
      </c>
    </row>
    <row r="15" spans="1:3" x14ac:dyDescent="0.3">
      <c r="A15" t="s">
        <v>51</v>
      </c>
      <c r="B15" t="s">
        <v>65</v>
      </c>
      <c r="C15">
        <v>0</v>
      </c>
    </row>
    <row r="16" spans="1:3" x14ac:dyDescent="0.3">
      <c r="A16" t="s">
        <v>51</v>
      </c>
      <c r="B16" t="s">
        <v>66</v>
      </c>
      <c r="C16">
        <v>2.0029063376784202</v>
      </c>
    </row>
    <row r="17" spans="1:3" x14ac:dyDescent="0.3">
      <c r="A17" t="s">
        <v>51</v>
      </c>
      <c r="B17" t="s">
        <v>67</v>
      </c>
      <c r="C17">
        <v>0.84649546416084698</v>
      </c>
    </row>
    <row r="18" spans="1:3" x14ac:dyDescent="0.3">
      <c r="A18" t="s">
        <v>51</v>
      </c>
      <c r="B18" t="s">
        <v>68</v>
      </c>
      <c r="C18">
        <v>2.48930381812329</v>
      </c>
    </row>
    <row r="19" spans="1:3" x14ac:dyDescent="0.3">
      <c r="A19" t="s">
        <v>51</v>
      </c>
      <c r="B19" t="s">
        <v>69</v>
      </c>
      <c r="C19">
        <v>-0.40712891916062099</v>
      </c>
    </row>
    <row r="20" spans="1:3" x14ac:dyDescent="0.3">
      <c r="A20" t="s">
        <v>51</v>
      </c>
      <c r="B20" t="s">
        <v>70</v>
      </c>
      <c r="C20">
        <v>-1.4222408906947801</v>
      </c>
    </row>
    <row r="21" spans="1:3" x14ac:dyDescent="0.3">
      <c r="A21" t="s">
        <v>51</v>
      </c>
      <c r="B21" t="s">
        <v>71</v>
      </c>
      <c r="C21">
        <v>-0.170822670148468</v>
      </c>
    </row>
    <row r="22" spans="1:3" x14ac:dyDescent="0.3">
      <c r="A22" t="s">
        <v>51</v>
      </c>
      <c r="B22" t="s">
        <v>72</v>
      </c>
      <c r="C22">
        <v>0.904097570290323</v>
      </c>
    </row>
    <row r="23" spans="1:3" x14ac:dyDescent="0.3">
      <c r="A23" t="s">
        <v>51</v>
      </c>
      <c r="B23" t="s">
        <v>73</v>
      </c>
      <c r="C23">
        <v>1.3133467089111801</v>
      </c>
    </row>
    <row r="24" spans="1:3" x14ac:dyDescent="0.3">
      <c r="A24" t="s">
        <v>51</v>
      </c>
      <c r="B24" t="s">
        <v>74</v>
      </c>
      <c r="C24">
        <v>1.3320891677261499</v>
      </c>
    </row>
    <row r="25" spans="1:3" x14ac:dyDescent="0.3">
      <c r="A25" t="s">
        <v>51</v>
      </c>
      <c r="B25" t="s">
        <v>75</v>
      </c>
      <c r="C25">
        <v>2.2542426054704001</v>
      </c>
    </row>
    <row r="26" spans="1:3" x14ac:dyDescent="0.3">
      <c r="A26" t="s">
        <v>51</v>
      </c>
      <c r="B26" t="s">
        <v>76</v>
      </c>
      <c r="C26">
        <v>0.82984091052054898</v>
      </c>
    </row>
    <row r="27" spans="1:3" x14ac:dyDescent="0.3">
      <c r="A27" t="s">
        <v>51</v>
      </c>
      <c r="B27" t="s">
        <v>77</v>
      </c>
      <c r="C27">
        <v>-0.19091594322172001</v>
      </c>
    </row>
    <row r="28" spans="1:3" x14ac:dyDescent="0.3">
      <c r="A28" t="s">
        <v>51</v>
      </c>
      <c r="B28" t="s">
        <v>78</v>
      </c>
      <c r="C28">
        <v>-9.55215895124213E-3</v>
      </c>
    </row>
    <row r="29" spans="1:3" x14ac:dyDescent="0.3">
      <c r="A29" t="s">
        <v>51</v>
      </c>
      <c r="B29" t="s">
        <v>79</v>
      </c>
      <c r="C29">
        <v>-3.0509615495155802</v>
      </c>
    </row>
    <row r="30" spans="1:3" x14ac:dyDescent="0.3">
      <c r="A30" t="s">
        <v>51</v>
      </c>
      <c r="B30" t="s">
        <v>80</v>
      </c>
      <c r="C30">
        <v>-7.1902181753130199</v>
      </c>
    </row>
    <row r="31" spans="1:3" x14ac:dyDescent="0.3">
      <c r="A31" t="s">
        <v>51</v>
      </c>
      <c r="B31" t="s">
        <v>81</v>
      </c>
      <c r="C31">
        <v>-0.92398630957072503</v>
      </c>
    </row>
    <row r="32" spans="1:3" x14ac:dyDescent="0.3">
      <c r="A32" t="s">
        <v>51</v>
      </c>
      <c r="B32" t="s">
        <v>82</v>
      </c>
      <c r="C32">
        <v>0.49368606217765698</v>
      </c>
    </row>
    <row r="33" spans="1:3" x14ac:dyDescent="0.3">
      <c r="A33" t="s">
        <v>51</v>
      </c>
      <c r="B33" t="s">
        <v>83</v>
      </c>
      <c r="C33">
        <v>-0.41628566034548697</v>
      </c>
    </row>
    <row r="34" spans="1:3" x14ac:dyDescent="0.3">
      <c r="A34" t="s">
        <v>51</v>
      </c>
      <c r="B34" t="s">
        <v>84</v>
      </c>
      <c r="C34">
        <v>-1.7576345933348301</v>
      </c>
    </row>
    <row r="35" spans="1:3" x14ac:dyDescent="0.3">
      <c r="A35" t="s">
        <v>16</v>
      </c>
      <c r="B35" t="s">
        <v>52</v>
      </c>
      <c r="C35">
        <v>-2.7772279297948002</v>
      </c>
    </row>
    <row r="36" spans="1:3" x14ac:dyDescent="0.3">
      <c r="A36" t="s">
        <v>16</v>
      </c>
      <c r="B36" t="s">
        <v>53</v>
      </c>
      <c r="C36">
        <v>1.49669551014356E-2</v>
      </c>
    </row>
    <row r="37" spans="1:3" x14ac:dyDescent="0.3">
      <c r="A37" t="s">
        <v>16</v>
      </c>
      <c r="B37" t="s">
        <v>54</v>
      </c>
      <c r="C37">
        <v>-0.111352006473442</v>
      </c>
    </row>
    <row r="38" spans="1:3" x14ac:dyDescent="0.3">
      <c r="A38" t="s">
        <v>16</v>
      </c>
      <c r="B38" t="s">
        <v>55</v>
      </c>
      <c r="C38">
        <v>0</v>
      </c>
    </row>
    <row r="39" spans="1:3" x14ac:dyDescent="0.3">
      <c r="A39" t="s">
        <v>16</v>
      </c>
      <c r="B39" t="s">
        <v>56</v>
      </c>
      <c r="C39">
        <v>0</v>
      </c>
    </row>
    <row r="40" spans="1:3" x14ac:dyDescent="0.3">
      <c r="A40" t="s">
        <v>16</v>
      </c>
      <c r="B40" t="s">
        <v>57</v>
      </c>
      <c r="C40">
        <v>-0.27743661969660899</v>
      </c>
    </row>
    <row r="41" spans="1:3" x14ac:dyDescent="0.3">
      <c r="A41" t="s">
        <v>16</v>
      </c>
      <c r="B41" t="s">
        <v>58</v>
      </c>
      <c r="C41">
        <v>0.41218664700910501</v>
      </c>
    </row>
    <row r="42" spans="1:3" x14ac:dyDescent="0.3">
      <c r="A42" t="s">
        <v>16</v>
      </c>
      <c r="B42" t="s">
        <v>59</v>
      </c>
      <c r="C42">
        <v>1.2487234325207399</v>
      </c>
    </row>
    <row r="43" spans="1:3" x14ac:dyDescent="0.3">
      <c r="A43" t="s">
        <v>16</v>
      </c>
      <c r="B43" t="s">
        <v>60</v>
      </c>
      <c r="C43">
        <v>1.9776803790639601E-2</v>
      </c>
    </row>
    <row r="44" spans="1:3" x14ac:dyDescent="0.3">
      <c r="A44" t="s">
        <v>16</v>
      </c>
      <c r="B44" t="s">
        <v>61</v>
      </c>
      <c r="C44">
        <v>1.08209810957803</v>
      </c>
    </row>
    <row r="45" spans="1:3" x14ac:dyDescent="0.3">
      <c r="A45" t="s">
        <v>16</v>
      </c>
      <c r="B45" t="s">
        <v>62</v>
      </c>
      <c r="C45">
        <v>-0.67069548696932602</v>
      </c>
    </row>
    <row r="46" spans="1:3" x14ac:dyDescent="0.3">
      <c r="A46" t="s">
        <v>16</v>
      </c>
      <c r="B46" t="s">
        <v>63</v>
      </c>
      <c r="C46">
        <v>0.39837032005609802</v>
      </c>
    </row>
    <row r="47" spans="1:3" x14ac:dyDescent="0.3">
      <c r="A47" t="s">
        <v>16</v>
      </c>
      <c r="B47" t="s">
        <v>64</v>
      </c>
      <c r="C47">
        <v>-0.65925757519212003</v>
      </c>
    </row>
    <row r="48" spans="1:3" x14ac:dyDescent="0.3">
      <c r="A48" t="s">
        <v>16</v>
      </c>
      <c r="B48" t="s">
        <v>65</v>
      </c>
      <c r="C48">
        <v>-5.5362447558207198E-2</v>
      </c>
    </row>
    <row r="49" spans="1:3" x14ac:dyDescent="0.3">
      <c r="A49" t="s">
        <v>16</v>
      </c>
      <c r="B49" t="s">
        <v>66</v>
      </c>
      <c r="C49">
        <v>1.60550878063989</v>
      </c>
    </row>
    <row r="50" spans="1:3" x14ac:dyDescent="0.3">
      <c r="A50" t="s">
        <v>16</v>
      </c>
      <c r="B50" t="s">
        <v>67</v>
      </c>
      <c r="C50">
        <v>0</v>
      </c>
    </row>
    <row r="51" spans="1:3" x14ac:dyDescent="0.3">
      <c r="A51" t="s">
        <v>16</v>
      </c>
      <c r="B51" t="s">
        <v>68</v>
      </c>
      <c r="C51">
        <v>2.0440211323475599</v>
      </c>
    </row>
    <row r="52" spans="1:3" x14ac:dyDescent="0.3">
      <c r="A52" t="s">
        <v>16</v>
      </c>
      <c r="B52" t="s">
        <v>69</v>
      </c>
      <c r="C52">
        <v>-4.6237432395066898E-2</v>
      </c>
    </row>
    <row r="53" spans="1:3" x14ac:dyDescent="0.3">
      <c r="A53" t="s">
        <v>16</v>
      </c>
      <c r="B53" t="s">
        <v>70</v>
      </c>
      <c r="C53">
        <v>-0.93119382046170995</v>
      </c>
    </row>
    <row r="54" spans="1:3" x14ac:dyDescent="0.3">
      <c r="A54" t="s">
        <v>16</v>
      </c>
      <c r="B54" t="s">
        <v>71</v>
      </c>
      <c r="C54">
        <v>0</v>
      </c>
    </row>
    <row r="55" spans="1:3" x14ac:dyDescent="0.3">
      <c r="A55" t="s">
        <v>16</v>
      </c>
      <c r="B55" t="s">
        <v>72</v>
      </c>
      <c r="C55">
        <v>0.933760599640867</v>
      </c>
    </row>
    <row r="56" spans="1:3" x14ac:dyDescent="0.3">
      <c r="A56" t="s">
        <v>16</v>
      </c>
      <c r="B56" t="s">
        <v>73</v>
      </c>
      <c r="C56">
        <v>8.1020250479686307E-2</v>
      </c>
    </row>
    <row r="57" spans="1:3" x14ac:dyDescent="0.3">
      <c r="A57" t="s">
        <v>16</v>
      </c>
      <c r="B57" t="s">
        <v>74</v>
      </c>
      <c r="C57">
        <v>0.54139448067128704</v>
      </c>
    </row>
    <row r="58" spans="1:3" x14ac:dyDescent="0.3">
      <c r="A58" t="s">
        <v>16</v>
      </c>
      <c r="B58" t="s">
        <v>75</v>
      </c>
      <c r="C58">
        <v>0</v>
      </c>
    </row>
    <row r="59" spans="1:3" x14ac:dyDescent="0.3">
      <c r="A59" t="s">
        <v>16</v>
      </c>
      <c r="B59" t="s">
        <v>76</v>
      </c>
      <c r="C59">
        <v>0</v>
      </c>
    </row>
    <row r="60" spans="1:3" x14ac:dyDescent="0.3">
      <c r="A60" t="s">
        <v>16</v>
      </c>
      <c r="B60" t="s">
        <v>77</v>
      </c>
      <c r="C60">
        <v>0</v>
      </c>
    </row>
    <row r="61" spans="1:3" x14ac:dyDescent="0.3">
      <c r="A61" t="s">
        <v>16</v>
      </c>
      <c r="B61" t="s">
        <v>78</v>
      </c>
      <c r="C61">
        <v>-0.48452111235953599</v>
      </c>
    </row>
    <row r="62" spans="1:3" x14ac:dyDescent="0.3">
      <c r="A62" t="s">
        <v>16</v>
      </c>
      <c r="B62" t="s">
        <v>79</v>
      </c>
      <c r="C62">
        <v>0</v>
      </c>
    </row>
    <row r="63" spans="1:3" x14ac:dyDescent="0.3">
      <c r="A63" t="s">
        <v>16</v>
      </c>
      <c r="B63" t="s">
        <v>80</v>
      </c>
      <c r="C63">
        <v>-0.84996892445425898</v>
      </c>
    </row>
    <row r="64" spans="1:3" x14ac:dyDescent="0.3">
      <c r="A64" t="s">
        <v>16</v>
      </c>
      <c r="B64" t="s">
        <v>81</v>
      </c>
      <c r="C64">
        <v>-0.292069679587108</v>
      </c>
    </row>
    <row r="65" spans="1:3" x14ac:dyDescent="0.3">
      <c r="A65" t="s">
        <v>16</v>
      </c>
      <c r="B65" t="s">
        <v>82</v>
      </c>
      <c r="C65">
        <v>0</v>
      </c>
    </row>
    <row r="66" spans="1:3" x14ac:dyDescent="0.3">
      <c r="A66" t="s">
        <v>16</v>
      </c>
      <c r="B66" t="s">
        <v>83</v>
      </c>
      <c r="C66">
        <v>0</v>
      </c>
    </row>
    <row r="67" spans="1:3" x14ac:dyDescent="0.3">
      <c r="A67" t="s">
        <v>16</v>
      </c>
      <c r="B67" t="s">
        <v>84</v>
      </c>
      <c r="C67">
        <v>-5.9835026548446101E-2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3"/>
  <sheetViews>
    <sheetView tabSelected="1" topLeftCell="A19" workbookViewId="0">
      <pane xSplit="1" topLeftCell="F1" activePane="topRight" state="frozen"/>
      <selection pane="topRight" activeCell="R25" sqref="R25"/>
    </sheetView>
  </sheetViews>
  <sheetFormatPr defaultColWidth="11.5546875" defaultRowHeight="14.4" x14ac:dyDescent="0.3"/>
  <sheetData>
    <row r="1" spans="1:18" x14ac:dyDescent="0.3">
      <c r="A1" t="s">
        <v>85</v>
      </c>
      <c r="B1" t="s">
        <v>86</v>
      </c>
      <c r="C1" t="s">
        <v>87</v>
      </c>
      <c r="D1" t="s">
        <v>88</v>
      </c>
      <c r="E1" t="s">
        <v>43</v>
      </c>
      <c r="F1" t="s">
        <v>89</v>
      </c>
      <c r="G1" t="s">
        <v>90</v>
      </c>
      <c r="H1" t="s">
        <v>44</v>
      </c>
      <c r="I1" t="s">
        <v>45</v>
      </c>
      <c r="J1" t="s">
        <v>158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3">
      <c r="A2" t="s">
        <v>53</v>
      </c>
      <c r="B2">
        <v>2.6832416667849499E-2</v>
      </c>
      <c r="C2">
        <v>5.6042937022992099E-3</v>
      </c>
      <c r="D2">
        <v>4.7878319897547996</v>
      </c>
      <c r="E2">
        <v>1.68592695047445E-6</v>
      </c>
      <c r="F2" t="s">
        <v>99</v>
      </c>
      <c r="G2">
        <v>1.02719564746934</v>
      </c>
      <c r="H2">
        <v>1.0159742466111401</v>
      </c>
      <c r="I2">
        <v>1.03854098831681</v>
      </c>
      <c r="J2" t="str">
        <f>_xlfn.CONCAT(ROUND(G2,3), " (", ROUND(H2,3), "-", ROUND(I2,3), ")")</f>
        <v>1.027 (1.016-1.039)</v>
      </c>
      <c r="K2" t="s">
        <v>53</v>
      </c>
      <c r="L2">
        <v>1.36593027054003</v>
      </c>
      <c r="M2">
        <v>1.36593027054003</v>
      </c>
      <c r="N2">
        <v>1.36593027054003</v>
      </c>
      <c r="O2">
        <v>24.025524397757898</v>
      </c>
      <c r="P2">
        <v>1</v>
      </c>
      <c r="Q2">
        <v>9.5067048425697003E-7</v>
      </c>
      <c r="R2" t="s">
        <v>100</v>
      </c>
    </row>
    <row r="3" spans="1:18" x14ac:dyDescent="0.3">
      <c r="A3" t="s">
        <v>54</v>
      </c>
      <c r="B3">
        <v>-0.112460214907214</v>
      </c>
      <c r="C3">
        <v>2.35181417475137E-2</v>
      </c>
      <c r="D3">
        <v>-4.7818495234260103</v>
      </c>
      <c r="E3">
        <v>1.73689679810571E-6</v>
      </c>
      <c r="F3" t="s">
        <v>101</v>
      </c>
      <c r="G3">
        <v>0.89363289966910997</v>
      </c>
      <c r="H3">
        <v>0.85337536738770403</v>
      </c>
      <c r="I3">
        <v>0.93578955977553102</v>
      </c>
      <c r="J3" t="str">
        <f t="shared" ref="J3:J33" si="0">_xlfn.CONCAT(ROUND(G3,2), " (", ROUND(H3,2), "-", ROUND(I3,2), ")")</f>
        <v>0.89 (0.85-0.94)</v>
      </c>
      <c r="K3" t="s">
        <v>54</v>
      </c>
      <c r="L3">
        <v>2.0579754377800401</v>
      </c>
      <c r="M3">
        <v>2.0579754377800401</v>
      </c>
      <c r="N3">
        <v>2.0579754377800401</v>
      </c>
      <c r="O3">
        <v>23.349844642822099</v>
      </c>
      <c r="P3">
        <v>1</v>
      </c>
      <c r="Q3">
        <v>1.35054417838606E-6</v>
      </c>
      <c r="R3" t="s">
        <v>102</v>
      </c>
    </row>
    <row r="4" spans="1:18" x14ac:dyDescent="0.3">
      <c r="A4" t="s">
        <v>55</v>
      </c>
      <c r="B4">
        <v>0.25739745282658399</v>
      </c>
      <c r="C4">
        <v>0.17364230102948</v>
      </c>
      <c r="D4">
        <v>1.4823430195323499</v>
      </c>
      <c r="E4">
        <v>0.13824904707559299</v>
      </c>
      <c r="F4" t="s">
        <v>103</v>
      </c>
      <c r="G4">
        <v>1.29355915334378</v>
      </c>
      <c r="H4">
        <v>0.92040502873854102</v>
      </c>
      <c r="I4">
        <v>1.8179988493683099</v>
      </c>
      <c r="J4" t="str">
        <f t="shared" si="0"/>
        <v>1.29 (0.92-1.82)</v>
      </c>
      <c r="K4" t="s">
        <v>104</v>
      </c>
      <c r="L4">
        <v>1.1659949159047001</v>
      </c>
      <c r="M4">
        <v>1.26973179322839</v>
      </c>
      <c r="N4">
        <v>1.26973179322839</v>
      </c>
      <c r="O4">
        <v>11.236091484452601</v>
      </c>
      <c r="P4">
        <v>3</v>
      </c>
      <c r="Q4">
        <v>1.0515398988149301E-2</v>
      </c>
      <c r="R4" t="s">
        <v>105</v>
      </c>
    </row>
    <row r="5" spans="1:18" x14ac:dyDescent="0.3">
      <c r="A5" t="s">
        <v>56</v>
      </c>
      <c r="B5">
        <v>0.64808867515503499</v>
      </c>
      <c r="C5">
        <v>0.41772646020000997</v>
      </c>
      <c r="D5">
        <v>1.5514666579769101</v>
      </c>
      <c r="E5">
        <v>0.12078989164266001</v>
      </c>
      <c r="F5" t="s">
        <v>106</v>
      </c>
      <c r="G5">
        <v>1.91188310489887</v>
      </c>
      <c r="H5">
        <v>0.84311223955409298</v>
      </c>
      <c r="I5">
        <v>4.3354808948461701</v>
      </c>
      <c r="J5" t="str">
        <f t="shared" si="0"/>
        <v>1.91 (0.84-4.34)</v>
      </c>
      <c r="K5" t="s">
        <v>104</v>
      </c>
      <c r="L5">
        <v>1.1659949159047001</v>
      </c>
      <c r="M5">
        <v>1.26973179322839</v>
      </c>
      <c r="N5">
        <v>1.13628667173496</v>
      </c>
      <c r="O5">
        <v>11.236091484452601</v>
      </c>
      <c r="P5">
        <v>3</v>
      </c>
      <c r="Q5">
        <v>1.0515398988149301E-2</v>
      </c>
      <c r="R5" t="s">
        <v>105</v>
      </c>
    </row>
    <row r="6" spans="1:18" x14ac:dyDescent="0.3">
      <c r="A6" t="s">
        <v>57</v>
      </c>
      <c r="B6">
        <v>-0.69753272030336</v>
      </c>
      <c r="C6">
        <v>0.31751466857682098</v>
      </c>
      <c r="D6">
        <v>-2.19685195468251</v>
      </c>
      <c r="E6">
        <v>2.8031021128429399E-2</v>
      </c>
      <c r="F6" t="s">
        <v>107</v>
      </c>
      <c r="G6">
        <v>0.49781203134679403</v>
      </c>
      <c r="H6">
        <v>0.26717231059184599</v>
      </c>
      <c r="I6">
        <v>0.92755427388658696</v>
      </c>
      <c r="J6" t="str">
        <f t="shared" si="0"/>
        <v>0.5 (0.27-0.93)</v>
      </c>
      <c r="K6" t="s">
        <v>104</v>
      </c>
      <c r="L6">
        <v>1.1659949159047001</v>
      </c>
      <c r="M6">
        <v>1.26973179322839</v>
      </c>
      <c r="N6">
        <v>1.0919662827507499</v>
      </c>
      <c r="O6">
        <v>11.236091484452601</v>
      </c>
      <c r="P6">
        <v>3</v>
      </c>
      <c r="Q6">
        <v>1.0515398988149301E-2</v>
      </c>
      <c r="R6" t="s">
        <v>105</v>
      </c>
    </row>
    <row r="7" spans="1:18" x14ac:dyDescent="0.3">
      <c r="A7" t="s">
        <v>58</v>
      </c>
      <c r="B7">
        <v>0.64061126053528705</v>
      </c>
      <c r="C7">
        <v>0.25652752137857798</v>
      </c>
      <c r="D7">
        <v>2.49724184404326</v>
      </c>
      <c r="E7">
        <v>1.2516356231749E-2</v>
      </c>
      <c r="F7" t="s">
        <v>108</v>
      </c>
      <c r="G7">
        <v>1.8976404775946301</v>
      </c>
      <c r="H7">
        <v>1.14776585568592</v>
      </c>
      <c r="I7">
        <v>3.1374337931089098</v>
      </c>
      <c r="J7" t="str">
        <f t="shared" si="0"/>
        <v>1.9 (1.15-3.14)</v>
      </c>
      <c r="K7" t="s">
        <v>109</v>
      </c>
      <c r="L7">
        <v>1.3990537042690001</v>
      </c>
      <c r="M7">
        <v>1.3990537042690001</v>
      </c>
      <c r="N7">
        <v>1.3990537042690001</v>
      </c>
      <c r="O7">
        <v>6.3288766035739199</v>
      </c>
      <c r="P7">
        <v>1</v>
      </c>
      <c r="Q7">
        <v>1.1878753865079399E-2</v>
      </c>
      <c r="R7" t="s">
        <v>110</v>
      </c>
    </row>
    <row r="8" spans="1:18" x14ac:dyDescent="0.3">
      <c r="A8" t="s">
        <v>59</v>
      </c>
      <c r="B8">
        <v>1.2309608310107401</v>
      </c>
      <c r="C8">
        <v>0.19006993797867999</v>
      </c>
      <c r="D8">
        <v>6.4763573035353703</v>
      </c>
      <c r="E8">
        <v>9.3963393842420994E-11</v>
      </c>
      <c r="F8" t="s">
        <v>111</v>
      </c>
      <c r="G8">
        <v>3.4245183394620198</v>
      </c>
      <c r="H8">
        <v>2.3594387019022598</v>
      </c>
      <c r="I8">
        <v>4.9703880197678902</v>
      </c>
      <c r="J8" t="str">
        <f t="shared" si="0"/>
        <v>3.42 (2.36-4.97)</v>
      </c>
      <c r="K8" t="s">
        <v>112</v>
      </c>
      <c r="L8">
        <v>1.8754307690465299</v>
      </c>
      <c r="M8">
        <v>1.8754307690465299</v>
      </c>
      <c r="N8">
        <v>1.8754307690465299</v>
      </c>
      <c r="O8">
        <v>41.793949590771703</v>
      </c>
      <c r="P8">
        <v>1</v>
      </c>
      <c r="Q8">
        <v>1.01416764974984E-10</v>
      </c>
      <c r="R8" t="s">
        <v>113</v>
      </c>
    </row>
    <row r="9" spans="1:18" x14ac:dyDescent="0.3">
      <c r="A9" t="s">
        <v>60</v>
      </c>
      <c r="B9">
        <v>1.1029678775929099</v>
      </c>
      <c r="C9">
        <v>0.341567373844964</v>
      </c>
      <c r="D9">
        <v>3.2291370957857999</v>
      </c>
      <c r="E9">
        <v>1.24164356677145E-3</v>
      </c>
      <c r="F9" t="s">
        <v>114</v>
      </c>
      <c r="G9">
        <v>3.0130952648670299</v>
      </c>
      <c r="H9">
        <v>1.5426409108174499</v>
      </c>
      <c r="I9">
        <v>5.8851953241362196</v>
      </c>
      <c r="J9" t="str">
        <f t="shared" si="0"/>
        <v>3.01 (1.54-5.89)</v>
      </c>
      <c r="K9" t="s">
        <v>115</v>
      </c>
      <c r="L9">
        <v>1.6473729046815</v>
      </c>
      <c r="M9">
        <v>1.8978103472030401</v>
      </c>
      <c r="N9">
        <v>1.3969354621599701</v>
      </c>
      <c r="O9">
        <v>70.606903951615806</v>
      </c>
      <c r="P9">
        <v>2</v>
      </c>
      <c r="Q9">
        <v>4.6548491868102498E-16</v>
      </c>
      <c r="R9" t="s">
        <v>116</v>
      </c>
    </row>
    <row r="10" spans="1:18" x14ac:dyDescent="0.3">
      <c r="A10" t="s">
        <v>61</v>
      </c>
      <c r="B10">
        <v>2.1191282424423701</v>
      </c>
      <c r="C10">
        <v>0.32035795358649699</v>
      </c>
      <c r="D10">
        <v>6.6148763241809299</v>
      </c>
      <c r="E10">
        <v>3.7186250499916403E-11</v>
      </c>
      <c r="F10" t="s">
        <v>117</v>
      </c>
      <c r="G10">
        <v>8.3238779203702595</v>
      </c>
      <c r="H10">
        <v>4.4425416369318302</v>
      </c>
      <c r="I10">
        <v>15.5962395618828</v>
      </c>
      <c r="J10" t="str">
        <f t="shared" si="0"/>
        <v>8.32 (4.44-15.6)</v>
      </c>
      <c r="K10" t="s">
        <v>115</v>
      </c>
      <c r="L10">
        <v>1.6473729046815</v>
      </c>
      <c r="M10">
        <v>1.8978103472030401</v>
      </c>
      <c r="N10">
        <v>1.8978103472030401</v>
      </c>
      <c r="O10">
        <v>70.606903951615806</v>
      </c>
      <c r="P10">
        <v>2</v>
      </c>
      <c r="Q10">
        <v>4.6548491868102498E-16</v>
      </c>
      <c r="R10" t="s">
        <v>116</v>
      </c>
    </row>
    <row r="11" spans="1:18" x14ac:dyDescent="0.3">
      <c r="A11" t="s">
        <v>62</v>
      </c>
      <c r="B11">
        <v>-1.0453907973901599</v>
      </c>
      <c r="C11">
        <v>0.19870034660535299</v>
      </c>
      <c r="D11">
        <v>-5.2611422941624504</v>
      </c>
      <c r="E11">
        <v>1.4316318388358901E-7</v>
      </c>
      <c r="F11" t="s">
        <v>118</v>
      </c>
      <c r="G11">
        <v>0.35155440598505899</v>
      </c>
      <c r="H11">
        <v>0.23815263752552501</v>
      </c>
      <c r="I11">
        <v>0.51895499311554505</v>
      </c>
      <c r="J11" t="str">
        <f t="shared" si="0"/>
        <v>0.35 (0.24-0.52)</v>
      </c>
      <c r="K11" t="s">
        <v>119</v>
      </c>
      <c r="L11">
        <v>1.15240382975824</v>
      </c>
      <c r="M11">
        <v>1.15240382975824</v>
      </c>
      <c r="N11">
        <v>1.15240382975824</v>
      </c>
      <c r="O11">
        <v>30.113111870769401</v>
      </c>
      <c r="P11">
        <v>1</v>
      </c>
      <c r="Q11">
        <v>4.0756625176721303E-8</v>
      </c>
      <c r="R11" t="s">
        <v>120</v>
      </c>
    </row>
    <row r="12" spans="1:18" x14ac:dyDescent="0.3">
      <c r="A12" t="s">
        <v>63</v>
      </c>
      <c r="B12">
        <v>0.66577638224481095</v>
      </c>
      <c r="C12">
        <v>0.20831178996795199</v>
      </c>
      <c r="D12">
        <v>3.1960571331427698</v>
      </c>
      <c r="E12">
        <v>1.39319521498599E-3</v>
      </c>
      <c r="F12" t="s">
        <v>121</v>
      </c>
      <c r="G12">
        <v>1.9460007754441799</v>
      </c>
      <c r="H12">
        <v>1.29367276009548</v>
      </c>
      <c r="I12">
        <v>2.9272619280859402</v>
      </c>
      <c r="J12" t="str">
        <f t="shared" si="0"/>
        <v>1.95 (1.29-2.93)</v>
      </c>
      <c r="K12" t="s">
        <v>122</v>
      </c>
      <c r="L12">
        <v>1.1402293062153199</v>
      </c>
      <c r="M12">
        <v>1.1402293062153199</v>
      </c>
      <c r="N12">
        <v>1.1402293062153199</v>
      </c>
      <c r="O12">
        <v>10.767091039582301</v>
      </c>
      <c r="P12">
        <v>1</v>
      </c>
      <c r="Q12">
        <v>1.03320768828533E-3</v>
      </c>
      <c r="R12" t="s">
        <v>123</v>
      </c>
    </row>
    <row r="13" spans="1:18" x14ac:dyDescent="0.3">
      <c r="A13" t="s">
        <v>64</v>
      </c>
      <c r="B13">
        <v>-1.95943800609293</v>
      </c>
      <c r="C13">
        <v>0.79544220903990603</v>
      </c>
      <c r="D13">
        <v>-2.4633316962874798</v>
      </c>
      <c r="E13">
        <v>1.3765250454725301E-2</v>
      </c>
      <c r="F13" t="s">
        <v>124</v>
      </c>
      <c r="G13">
        <v>0.14093760474369099</v>
      </c>
      <c r="H13">
        <v>2.9643727249238E-2</v>
      </c>
      <c r="I13">
        <v>0.67007121823384996</v>
      </c>
      <c r="J13" t="str">
        <f t="shared" si="0"/>
        <v>0.14 (0.03-0.67)</v>
      </c>
      <c r="K13" t="s">
        <v>125</v>
      </c>
      <c r="L13">
        <v>1.0875282969140501</v>
      </c>
      <c r="M13">
        <v>1.0875282969140501</v>
      </c>
      <c r="N13">
        <v>1.0875282969140501</v>
      </c>
      <c r="O13">
        <v>9.4847443380792793</v>
      </c>
      <c r="P13">
        <v>1</v>
      </c>
      <c r="Q13">
        <v>2.07187484136888E-3</v>
      </c>
      <c r="R13" t="s">
        <v>126</v>
      </c>
    </row>
    <row r="14" spans="1:18" x14ac:dyDescent="0.3">
      <c r="A14" t="s">
        <v>65</v>
      </c>
      <c r="B14">
        <v>1.2446526643556901</v>
      </c>
      <c r="C14">
        <v>1.14951002276187</v>
      </c>
      <c r="D14">
        <v>1.08276799654624</v>
      </c>
      <c r="E14">
        <v>0.27891141408423997</v>
      </c>
      <c r="F14" t="s">
        <v>127</v>
      </c>
      <c r="G14">
        <v>3.4717287347574</v>
      </c>
      <c r="H14">
        <v>0.36480694604942299</v>
      </c>
      <c r="I14">
        <v>33.039119836570599</v>
      </c>
      <c r="J14" t="str">
        <f t="shared" si="0"/>
        <v>3.47 (0.36-33.04)</v>
      </c>
      <c r="K14" t="s">
        <v>128</v>
      </c>
      <c r="L14">
        <v>5.7927421648525002</v>
      </c>
      <c r="M14">
        <v>11.4609608766643</v>
      </c>
      <c r="N14">
        <v>6.6410291748453298</v>
      </c>
      <c r="O14">
        <v>67.404795783859299</v>
      </c>
      <c r="P14">
        <v>4</v>
      </c>
      <c r="Q14">
        <v>8.0092906416683294E-14</v>
      </c>
      <c r="R14" t="s">
        <v>129</v>
      </c>
    </row>
    <row r="15" spans="1:18" x14ac:dyDescent="0.3">
      <c r="A15" t="s">
        <v>66</v>
      </c>
      <c r="B15">
        <v>2.6827845039003702</v>
      </c>
      <c r="C15">
        <v>0.73282449327431598</v>
      </c>
      <c r="D15">
        <v>3.6608826922712101</v>
      </c>
      <c r="E15">
        <v>2.5134782632336901E-4</v>
      </c>
      <c r="F15" t="s">
        <v>130</v>
      </c>
      <c r="G15">
        <v>14.625762140051</v>
      </c>
      <c r="H15">
        <v>3.4779689803801701</v>
      </c>
      <c r="I15">
        <v>61.505125371752399</v>
      </c>
      <c r="J15" t="str">
        <f t="shared" si="0"/>
        <v>14.63 (3.48-61.51)</v>
      </c>
      <c r="K15" t="s">
        <v>128</v>
      </c>
      <c r="L15">
        <v>5.7927421648525002</v>
      </c>
      <c r="M15">
        <v>11.4609608766643</v>
      </c>
      <c r="N15">
        <v>3.02364942950785</v>
      </c>
      <c r="O15">
        <v>67.404795783859299</v>
      </c>
      <c r="P15">
        <v>4</v>
      </c>
      <c r="Q15">
        <v>8.0092906416683294E-14</v>
      </c>
      <c r="R15" t="s">
        <v>129</v>
      </c>
    </row>
    <row r="16" spans="1:18" x14ac:dyDescent="0.3">
      <c r="A16" t="s">
        <v>67</v>
      </c>
      <c r="B16">
        <v>3.6043613331777302</v>
      </c>
      <c r="C16">
        <v>2.5031791820336702</v>
      </c>
      <c r="D16">
        <v>1.43991343450269</v>
      </c>
      <c r="E16">
        <v>0.14989189169962699</v>
      </c>
      <c r="F16" t="s">
        <v>131</v>
      </c>
      <c r="G16">
        <v>36.7582001160388</v>
      </c>
      <c r="H16">
        <v>0.27202267189400797</v>
      </c>
      <c r="I16">
        <v>4967.1053753094002</v>
      </c>
      <c r="J16" t="str">
        <f t="shared" si="0"/>
        <v>36.76 (0.27-4967.11)</v>
      </c>
      <c r="K16" t="s">
        <v>128</v>
      </c>
      <c r="L16">
        <v>5.7927421648525002</v>
      </c>
      <c r="M16">
        <v>11.4609608766643</v>
      </c>
      <c r="N16">
        <v>11.4609608766643</v>
      </c>
      <c r="O16">
        <v>67.404795783859299</v>
      </c>
      <c r="P16">
        <v>4</v>
      </c>
      <c r="Q16">
        <v>8.0092906416683294E-14</v>
      </c>
      <c r="R16" t="s">
        <v>129</v>
      </c>
    </row>
    <row r="17" spans="1:18" x14ac:dyDescent="0.3">
      <c r="A17" t="s">
        <v>68</v>
      </c>
      <c r="B17">
        <v>3.1376907467607902</v>
      </c>
      <c r="C17">
        <v>0.78340501304938104</v>
      </c>
      <c r="D17">
        <v>4.00519615587781</v>
      </c>
      <c r="E17">
        <v>6.19660384632758E-5</v>
      </c>
      <c r="F17" t="s">
        <v>132</v>
      </c>
      <c r="G17">
        <v>23.050575734372998</v>
      </c>
      <c r="H17">
        <v>4.9640250873332903</v>
      </c>
      <c r="I17">
        <v>107.035929983887</v>
      </c>
      <c r="J17" t="str">
        <f t="shared" si="0"/>
        <v>23.05 (4.96-107.04)</v>
      </c>
      <c r="K17" t="s">
        <v>128</v>
      </c>
      <c r="L17">
        <v>5.7927421648525002</v>
      </c>
      <c r="M17">
        <v>11.4609608766643</v>
      </c>
      <c r="N17">
        <v>2.04532917839256</v>
      </c>
      <c r="O17">
        <v>67.404795783859299</v>
      </c>
      <c r="P17">
        <v>4</v>
      </c>
      <c r="Q17">
        <v>8.0092906416683294E-14</v>
      </c>
      <c r="R17" t="s">
        <v>129</v>
      </c>
    </row>
    <row r="18" spans="1:18" x14ac:dyDescent="0.3">
      <c r="A18" t="s">
        <v>69</v>
      </c>
      <c r="B18">
        <v>-0.46446436157793503</v>
      </c>
      <c r="C18">
        <v>0.32244957960218801</v>
      </c>
      <c r="D18">
        <v>-1.44042477013291</v>
      </c>
      <c r="E18">
        <v>0.14974725988226101</v>
      </c>
      <c r="F18" t="s">
        <v>131</v>
      </c>
      <c r="G18">
        <v>0.62847164861097504</v>
      </c>
      <c r="H18">
        <v>0.334049685663249</v>
      </c>
      <c r="I18">
        <v>1.1823888183686799</v>
      </c>
      <c r="J18" t="str">
        <f t="shared" si="0"/>
        <v>0.63 (0.33-1.18)</v>
      </c>
      <c r="K18" t="s">
        <v>133</v>
      </c>
      <c r="L18">
        <v>1.50596291144109</v>
      </c>
      <c r="M18">
        <v>1.7614532546166699</v>
      </c>
      <c r="N18">
        <v>1.2821851631971599</v>
      </c>
      <c r="O18">
        <v>39.789365480073499</v>
      </c>
      <c r="P18">
        <v>4</v>
      </c>
      <c r="Q18">
        <v>4.78503201778791E-8</v>
      </c>
      <c r="R18" t="s">
        <v>134</v>
      </c>
    </row>
    <row r="19" spans="1:18" x14ac:dyDescent="0.3">
      <c r="A19" t="s">
        <v>70</v>
      </c>
      <c r="B19">
        <v>-1.5312610761837799</v>
      </c>
      <c r="C19">
        <v>0.37165975838960102</v>
      </c>
      <c r="D19">
        <v>-4.1200615391311803</v>
      </c>
      <c r="E19">
        <v>3.7877121957830401E-5</v>
      </c>
      <c r="F19" t="s">
        <v>135</v>
      </c>
      <c r="G19">
        <v>0.21626277145042</v>
      </c>
      <c r="H19">
        <v>0.104380312111225</v>
      </c>
      <c r="I19">
        <v>0.44806904069782999</v>
      </c>
      <c r="J19" t="str">
        <f t="shared" si="0"/>
        <v>0.22 (0.1-0.45)</v>
      </c>
      <c r="K19" t="s">
        <v>133</v>
      </c>
      <c r="L19">
        <v>1.50596291144109</v>
      </c>
      <c r="M19">
        <v>1.7614532546166699</v>
      </c>
      <c r="N19">
        <v>1.7614532546166699</v>
      </c>
      <c r="O19">
        <v>39.789365480073499</v>
      </c>
      <c r="P19">
        <v>4</v>
      </c>
      <c r="Q19">
        <v>4.78503201778791E-8</v>
      </c>
      <c r="R19" t="s">
        <v>134</v>
      </c>
    </row>
    <row r="20" spans="1:18" x14ac:dyDescent="0.3">
      <c r="A20" t="s">
        <v>71</v>
      </c>
      <c r="B20">
        <v>-0.37247962558629899</v>
      </c>
      <c r="C20">
        <v>0.54956883380961297</v>
      </c>
      <c r="D20">
        <v>-0.67776701055674804</v>
      </c>
      <c r="E20">
        <v>0.49791943096976898</v>
      </c>
      <c r="F20" t="s">
        <v>136</v>
      </c>
      <c r="G20">
        <v>0.68902368986857598</v>
      </c>
      <c r="H20">
        <v>0.23465602985237699</v>
      </c>
      <c r="I20">
        <v>2.02318962567796</v>
      </c>
      <c r="J20" t="str">
        <f t="shared" si="0"/>
        <v>0.69 (0.23-2.02)</v>
      </c>
      <c r="K20" t="s">
        <v>133</v>
      </c>
      <c r="L20">
        <v>1.50596291144109</v>
      </c>
      <c r="M20">
        <v>1.7614532546166699</v>
      </c>
      <c r="N20">
        <v>1.4469805739344299</v>
      </c>
      <c r="O20">
        <v>39.789365480073499</v>
      </c>
      <c r="P20">
        <v>4</v>
      </c>
      <c r="Q20">
        <v>4.78503201778791E-8</v>
      </c>
      <c r="R20" t="s">
        <v>134</v>
      </c>
    </row>
    <row r="21" spans="1:18" x14ac:dyDescent="0.3">
      <c r="A21" t="s">
        <v>72</v>
      </c>
      <c r="B21">
        <v>0.92608788702342604</v>
      </c>
      <c r="C21">
        <v>0.29794444680646498</v>
      </c>
      <c r="D21">
        <v>3.10825691483682</v>
      </c>
      <c r="E21">
        <v>1.8819439152686799E-3</v>
      </c>
      <c r="F21" t="s">
        <v>137</v>
      </c>
      <c r="G21">
        <v>2.5246132609679299</v>
      </c>
      <c r="H21">
        <v>1.40792469308801</v>
      </c>
      <c r="I21">
        <v>4.5269978918231102</v>
      </c>
      <c r="J21" t="str">
        <f t="shared" si="0"/>
        <v>2.52 (1.41-4.53)</v>
      </c>
      <c r="K21" t="s">
        <v>133</v>
      </c>
      <c r="L21">
        <v>1.50596291144109</v>
      </c>
      <c r="M21">
        <v>1.7614532546166699</v>
      </c>
      <c r="N21">
        <v>1.5332326540161201</v>
      </c>
      <c r="O21">
        <v>39.789365480073499</v>
      </c>
      <c r="P21">
        <v>4</v>
      </c>
      <c r="Q21">
        <v>4.78503201778791E-8</v>
      </c>
      <c r="R21" t="s">
        <v>134</v>
      </c>
    </row>
    <row r="22" spans="1:18" x14ac:dyDescent="0.3">
      <c r="A22" t="s">
        <v>73</v>
      </c>
      <c r="B22">
        <v>1.7848848650321001</v>
      </c>
      <c r="C22">
        <v>0.58472650117804204</v>
      </c>
      <c r="D22">
        <v>3.05251234797141</v>
      </c>
      <c r="E22">
        <v>2.26934394169955E-3</v>
      </c>
      <c r="F22" t="s">
        <v>138</v>
      </c>
      <c r="G22">
        <v>5.9588938310353603</v>
      </c>
      <c r="H22">
        <v>1.89424609954207</v>
      </c>
      <c r="I22">
        <v>18.745407842273099</v>
      </c>
      <c r="J22" t="str">
        <f t="shared" si="0"/>
        <v>5.96 (1.89-18.75)</v>
      </c>
      <c r="K22" t="s">
        <v>139</v>
      </c>
      <c r="L22">
        <v>2.4203932068362399</v>
      </c>
      <c r="M22">
        <v>3.6409485718476899</v>
      </c>
      <c r="N22">
        <v>2.2689483731932598</v>
      </c>
      <c r="O22">
        <v>19.903090104186699</v>
      </c>
      <c r="P22">
        <v>4</v>
      </c>
      <c r="Q22">
        <v>5.2188437150954797E-4</v>
      </c>
      <c r="R22" t="s">
        <v>140</v>
      </c>
    </row>
    <row r="23" spans="1:18" x14ac:dyDescent="0.3">
      <c r="A23" t="s">
        <v>74</v>
      </c>
      <c r="B23">
        <v>1.59810845607617</v>
      </c>
      <c r="C23">
        <v>0.51005326315809396</v>
      </c>
      <c r="D23">
        <v>3.1332187665679601</v>
      </c>
      <c r="E23">
        <v>1.7290052154528401E-3</v>
      </c>
      <c r="F23" t="s">
        <v>141</v>
      </c>
      <c r="G23">
        <v>4.9436724012464497</v>
      </c>
      <c r="H23">
        <v>1.8192131278896899</v>
      </c>
      <c r="I23">
        <v>13.4343230247005</v>
      </c>
      <c r="J23" t="str">
        <f t="shared" si="0"/>
        <v>4.94 (1.82-13.43)</v>
      </c>
      <c r="K23" t="s">
        <v>139</v>
      </c>
      <c r="L23">
        <v>2.4203932068362399</v>
      </c>
      <c r="M23">
        <v>3.6409485718476899</v>
      </c>
      <c r="N23">
        <v>2.2030499676063799</v>
      </c>
      <c r="O23">
        <v>19.903090104186699</v>
      </c>
      <c r="P23">
        <v>4</v>
      </c>
      <c r="Q23">
        <v>5.2188437150954797E-4</v>
      </c>
      <c r="R23" t="s">
        <v>140</v>
      </c>
    </row>
    <row r="24" spans="1:18" x14ac:dyDescent="0.3">
      <c r="A24" t="s">
        <v>75</v>
      </c>
      <c r="B24">
        <v>3.2681720699516901</v>
      </c>
      <c r="C24">
        <v>1.2791974726134601</v>
      </c>
      <c r="D24">
        <v>2.5548612625653999</v>
      </c>
      <c r="E24">
        <v>1.06230129908462E-2</v>
      </c>
      <c r="F24" t="s">
        <v>142</v>
      </c>
      <c r="G24">
        <v>26.263287986108399</v>
      </c>
      <c r="H24">
        <v>2.1402978971668301</v>
      </c>
      <c r="I24">
        <v>322.27303346619198</v>
      </c>
      <c r="J24" t="str">
        <f t="shared" si="0"/>
        <v>26.26 (2.14-322.27)</v>
      </c>
      <c r="K24" t="s">
        <v>139</v>
      </c>
      <c r="L24">
        <v>2.4203932068362399</v>
      </c>
      <c r="M24">
        <v>3.6409485718476899</v>
      </c>
      <c r="N24">
        <v>3.6409485718476899</v>
      </c>
      <c r="O24">
        <v>19.903090104186699</v>
      </c>
      <c r="P24">
        <v>4</v>
      </c>
      <c r="Q24">
        <v>5.2188437150954797E-4</v>
      </c>
      <c r="R24" t="s">
        <v>140</v>
      </c>
    </row>
    <row r="25" spans="1:18" x14ac:dyDescent="0.3">
      <c r="A25" t="s">
        <v>76</v>
      </c>
      <c r="B25">
        <v>1.08322464964439</v>
      </c>
      <c r="C25">
        <v>0.42768401766412101</v>
      </c>
      <c r="D25">
        <v>2.5327685976217502</v>
      </c>
      <c r="E25">
        <v>1.13165631988813E-2</v>
      </c>
      <c r="F25" t="s">
        <v>143</v>
      </c>
      <c r="G25">
        <v>2.9541904373292498</v>
      </c>
      <c r="H25">
        <v>1.2775752877551401</v>
      </c>
      <c r="I25">
        <v>6.8310973323086497</v>
      </c>
      <c r="J25" t="str">
        <f t="shared" si="0"/>
        <v>2.95 (1.28-6.83)</v>
      </c>
      <c r="K25" t="s">
        <v>139</v>
      </c>
      <c r="L25">
        <v>2.4203932068362399</v>
      </c>
      <c r="M25">
        <v>3.6409485718476899</v>
      </c>
      <c r="N25">
        <v>1.56862591469762</v>
      </c>
      <c r="O25">
        <v>19.903090104186699</v>
      </c>
      <c r="P25">
        <v>4</v>
      </c>
      <c r="Q25">
        <v>5.2188437150954797E-4</v>
      </c>
      <c r="R25" t="s">
        <v>140</v>
      </c>
    </row>
    <row r="26" spans="1:18" x14ac:dyDescent="0.3">
      <c r="A26" t="s">
        <v>77</v>
      </c>
      <c r="B26">
        <v>-0.63419235911302996</v>
      </c>
      <c r="C26">
        <v>0.60700589462644206</v>
      </c>
      <c r="D26">
        <v>-1.04478780968563</v>
      </c>
      <c r="E26">
        <v>0.29612105022110302</v>
      </c>
      <c r="F26" t="s">
        <v>144</v>
      </c>
      <c r="G26">
        <v>0.53036365876609703</v>
      </c>
      <c r="H26">
        <v>0.16139122178398399</v>
      </c>
      <c r="I26">
        <v>1.7428804827827</v>
      </c>
      <c r="J26" t="str">
        <f t="shared" si="0"/>
        <v>0.53 (0.16-1.74)</v>
      </c>
      <c r="K26" t="s">
        <v>145</v>
      </c>
      <c r="L26">
        <v>8.7855097917638805</v>
      </c>
      <c r="M26">
        <v>16.057869477196899</v>
      </c>
      <c r="N26">
        <v>6.7864779577836103</v>
      </c>
      <c r="O26">
        <v>14.197120801751501</v>
      </c>
      <c r="P26">
        <v>4</v>
      </c>
      <c r="Q26">
        <v>6.6917886203087E-3</v>
      </c>
      <c r="R26" t="s">
        <v>146</v>
      </c>
    </row>
    <row r="27" spans="1:18" x14ac:dyDescent="0.3">
      <c r="A27" t="s">
        <v>78</v>
      </c>
      <c r="B27">
        <v>0.59361885930795399</v>
      </c>
      <c r="C27">
        <v>1.05860152283266</v>
      </c>
      <c r="D27">
        <v>0.56075760945394904</v>
      </c>
      <c r="E27">
        <v>0.57496278832500702</v>
      </c>
      <c r="F27" t="s">
        <v>147</v>
      </c>
      <c r="G27">
        <v>1.81052862257355</v>
      </c>
      <c r="H27">
        <v>0.22735556406534899</v>
      </c>
      <c r="I27">
        <v>14.4180060278439</v>
      </c>
      <c r="J27" t="str">
        <f t="shared" si="0"/>
        <v>1.81 (0.23-14.42)</v>
      </c>
      <c r="K27" t="s">
        <v>145</v>
      </c>
      <c r="L27">
        <v>8.7855097917638805</v>
      </c>
      <c r="M27">
        <v>16.057869477196899</v>
      </c>
      <c r="N27">
        <v>4.0182332313186002</v>
      </c>
      <c r="O27">
        <v>14.197120801751501</v>
      </c>
      <c r="P27">
        <v>4</v>
      </c>
      <c r="Q27">
        <v>6.6917886203087E-3</v>
      </c>
      <c r="R27" t="s">
        <v>146</v>
      </c>
    </row>
    <row r="28" spans="1:18" x14ac:dyDescent="0.3">
      <c r="A28" t="s">
        <v>79</v>
      </c>
      <c r="B28">
        <v>-7.4890712542416802</v>
      </c>
      <c r="C28">
        <v>3.2864827578612799</v>
      </c>
      <c r="D28">
        <v>-2.2787495952406198</v>
      </c>
      <c r="E28">
        <v>2.2681954739217899E-2</v>
      </c>
      <c r="F28" t="s">
        <v>148</v>
      </c>
      <c r="G28">
        <v>5.5916203876798804E-4</v>
      </c>
      <c r="H28">
        <v>8.9130651200414904E-7</v>
      </c>
      <c r="I28">
        <v>0.35079086867225401</v>
      </c>
      <c r="J28" t="str">
        <f t="shared" si="0"/>
        <v>0 (0-0.35)</v>
      </c>
      <c r="K28" t="s">
        <v>145</v>
      </c>
      <c r="L28">
        <v>8.7855097917638805</v>
      </c>
      <c r="M28">
        <v>16.057869477196899</v>
      </c>
      <c r="N28">
        <v>16.057869477196899</v>
      </c>
      <c r="O28">
        <v>14.197120801751501</v>
      </c>
      <c r="P28">
        <v>4</v>
      </c>
      <c r="Q28">
        <v>6.6917886203087E-3</v>
      </c>
      <c r="R28" t="s">
        <v>146</v>
      </c>
    </row>
    <row r="29" spans="1:18" x14ac:dyDescent="0.3">
      <c r="A29" t="s">
        <v>80</v>
      </c>
      <c r="B29">
        <v>-15.1775247254372</v>
      </c>
      <c r="C29">
        <v>6.8647953456493802</v>
      </c>
      <c r="D29">
        <v>-2.2109216606225699</v>
      </c>
      <c r="E29">
        <v>2.7041262423846201E-2</v>
      </c>
      <c r="F29" t="s">
        <v>149</v>
      </c>
      <c r="G29">
        <v>2.5614433943545702E-7</v>
      </c>
      <c r="H29">
        <v>3.67327122130327E-13</v>
      </c>
      <c r="I29">
        <v>0.178614424778436</v>
      </c>
      <c r="J29" t="str">
        <f t="shared" si="0"/>
        <v>0 (0-0.18)</v>
      </c>
      <c r="K29" t="s">
        <v>145</v>
      </c>
      <c r="L29">
        <v>8.7855097917638805</v>
      </c>
      <c r="M29">
        <v>16.057869477196899</v>
      </c>
      <c r="N29">
        <v>8.2794585007563803</v>
      </c>
      <c r="O29">
        <v>14.197120801751501</v>
      </c>
      <c r="P29">
        <v>4</v>
      </c>
      <c r="Q29">
        <v>6.6917886203087E-3</v>
      </c>
      <c r="R29" t="s">
        <v>146</v>
      </c>
    </row>
    <row r="30" spans="1:18" x14ac:dyDescent="0.3">
      <c r="A30" t="s">
        <v>81</v>
      </c>
      <c r="B30">
        <v>-1.07290010459773</v>
      </c>
      <c r="C30">
        <v>0.45490834942941499</v>
      </c>
      <c r="D30">
        <v>-2.3584972796024699</v>
      </c>
      <c r="E30">
        <v>1.8349094277009498E-2</v>
      </c>
      <c r="F30" t="s">
        <v>150</v>
      </c>
      <c r="G30">
        <v>0.34201519790173202</v>
      </c>
      <c r="H30">
        <v>0.14022311175805799</v>
      </c>
      <c r="I30">
        <v>0.83420196663150303</v>
      </c>
      <c r="J30" t="str">
        <f t="shared" si="0"/>
        <v>0.34 (0.14-0.83)</v>
      </c>
      <c r="K30" t="s">
        <v>151</v>
      </c>
      <c r="L30">
        <v>2.89407507863893</v>
      </c>
      <c r="M30">
        <v>3.9836504499263201</v>
      </c>
      <c r="N30">
        <v>3.38401504029475</v>
      </c>
      <c r="O30">
        <v>15.4808192378543</v>
      </c>
      <c r="P30">
        <v>4</v>
      </c>
      <c r="Q30">
        <v>3.8011464392771698E-3</v>
      </c>
      <c r="R30" t="s">
        <v>152</v>
      </c>
    </row>
    <row r="31" spans="1:18" x14ac:dyDescent="0.3">
      <c r="A31" t="s">
        <v>82</v>
      </c>
      <c r="B31">
        <v>0.54740798349184105</v>
      </c>
      <c r="C31">
        <v>0.43163152139217698</v>
      </c>
      <c r="D31">
        <v>1.2682298589459799</v>
      </c>
      <c r="E31">
        <v>0.20471587693552001</v>
      </c>
      <c r="F31" t="s">
        <v>153</v>
      </c>
      <c r="G31">
        <v>1.7287662148780401</v>
      </c>
      <c r="H31">
        <v>0.74186366066184495</v>
      </c>
      <c r="I31">
        <v>4.0285470015305496</v>
      </c>
      <c r="J31" t="str">
        <f t="shared" si="0"/>
        <v>1.73 (0.74-4.03)</v>
      </c>
      <c r="K31" t="s">
        <v>151</v>
      </c>
      <c r="L31">
        <v>2.89407507863893</v>
      </c>
      <c r="M31">
        <v>3.9836504499263201</v>
      </c>
      <c r="N31">
        <v>2.4096464159036</v>
      </c>
      <c r="O31">
        <v>15.4808192378543</v>
      </c>
      <c r="P31">
        <v>4</v>
      </c>
      <c r="Q31">
        <v>3.8011464392771698E-3</v>
      </c>
      <c r="R31" t="s">
        <v>152</v>
      </c>
    </row>
    <row r="32" spans="1:18" x14ac:dyDescent="0.3">
      <c r="A32" t="s">
        <v>83</v>
      </c>
      <c r="B32">
        <v>-0.70431113042117999</v>
      </c>
      <c r="C32">
        <v>1.084370708609</v>
      </c>
      <c r="D32">
        <v>-0.64951139387068801</v>
      </c>
      <c r="E32">
        <v>0.51600788427186295</v>
      </c>
      <c r="F32" t="s">
        <v>154</v>
      </c>
      <c r="G32">
        <v>0.49444906788596799</v>
      </c>
      <c r="H32">
        <v>5.9031875438552601E-2</v>
      </c>
      <c r="I32">
        <v>4.1414893041605296</v>
      </c>
      <c r="J32" t="str">
        <f t="shared" si="0"/>
        <v>0.49 (0.06-4.14)</v>
      </c>
      <c r="K32" t="s">
        <v>151</v>
      </c>
      <c r="L32">
        <v>2.89407507863893</v>
      </c>
      <c r="M32">
        <v>3.9836504499263201</v>
      </c>
      <c r="N32">
        <v>3.9836504499263201</v>
      </c>
      <c r="O32">
        <v>15.4808192378543</v>
      </c>
      <c r="P32">
        <v>4</v>
      </c>
      <c r="Q32">
        <v>3.8011464392771698E-3</v>
      </c>
      <c r="R32" t="s">
        <v>152</v>
      </c>
    </row>
    <row r="33" spans="1:18" x14ac:dyDescent="0.3">
      <c r="A33" t="s">
        <v>84</v>
      </c>
      <c r="B33">
        <v>-2.08729250273581</v>
      </c>
      <c r="C33">
        <v>0.76818223323891599</v>
      </c>
      <c r="D33">
        <v>-2.7171840383955201</v>
      </c>
      <c r="E33">
        <v>6.5839985898328802E-3</v>
      </c>
      <c r="F33" t="s">
        <v>155</v>
      </c>
      <c r="G33">
        <v>0.12402247215555599</v>
      </c>
      <c r="H33">
        <v>2.75175944727656E-2</v>
      </c>
      <c r="I33">
        <v>0.55897231913926404</v>
      </c>
      <c r="J33" t="str">
        <f t="shared" si="0"/>
        <v>0.12 (0.03-0.56)</v>
      </c>
      <c r="K33" t="s">
        <v>151</v>
      </c>
      <c r="L33">
        <v>2.89407507863893</v>
      </c>
      <c r="M33">
        <v>3.9836504499263201</v>
      </c>
      <c r="N33">
        <v>1.7989884084310299</v>
      </c>
      <c r="O33">
        <v>15.4808192378543</v>
      </c>
      <c r="P33">
        <v>4</v>
      </c>
      <c r="Q33">
        <v>3.8011464392771698E-3</v>
      </c>
      <c r="R33" t="s">
        <v>152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156</v>
      </c>
    </row>
    <row r="2" spans="1:1" x14ac:dyDescent="0.3">
      <c r="A2" t="s">
        <v>157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2025-10-13T05:48:24Z</dcterms:created>
  <dcterms:modified xsi:type="dcterms:W3CDTF">2025-10-22T07:38:45Z</dcterms:modified>
</cp:coreProperties>
</file>