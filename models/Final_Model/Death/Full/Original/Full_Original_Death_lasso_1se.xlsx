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Death\Full\Original\"/>
    </mc:Choice>
  </mc:AlternateContent>
  <xr:revisionPtr revIDLastSave="0" documentId="13_ncr:1_{4A96E9B4-1E97-4ACF-864E-46351A5546A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2" i="6"/>
</calcChain>
</file>

<file path=xl/sharedStrings.xml><?xml version="1.0" encoding="utf-8"?>
<sst xmlns="http://schemas.openxmlformats.org/spreadsheetml/2006/main" count="357" uniqueCount="167">
  <si>
    <t>Item</t>
  </si>
  <si>
    <t>Value</t>
  </si>
  <si>
    <t>Formula</t>
  </si>
  <si>
    <t>`14d_death` ~ Age + arr_status + InjuryHx.InjCause + arr_pp_size + arr_pp_prompt + head_neck_AIS + EDH + SAH + DAI + ns(aPTT, df = 4) + ns(CRP, df = 4) + ns(Platelet, df = 4) + ns(AST, df = 4) + ns(Sodium, df = 4)</t>
  </si>
  <si>
    <t>N_total</t>
  </si>
  <si>
    <t>2889</t>
  </si>
  <si>
    <t>Pos_Level</t>
  </si>
  <si>
    <t>1</t>
  </si>
  <si>
    <t>Penalty</t>
  </si>
  <si>
    <t>lasso</t>
  </si>
  <si>
    <t>Alpha</t>
  </si>
  <si>
    <t>Lambda_Chosen</t>
  </si>
  <si>
    <t>0.0064715178898818</t>
  </si>
  <si>
    <t>Use_CV</t>
  </si>
  <si>
    <t>TRUE</t>
  </si>
  <si>
    <t>Choose</t>
  </si>
  <si>
    <t>lambda.1se</t>
  </si>
  <si>
    <t>nfolds</t>
  </si>
  <si>
    <t>10</t>
  </si>
  <si>
    <t>Threshold</t>
  </si>
  <si>
    <t>0.5</t>
  </si>
  <si>
    <t>Standardize</t>
  </si>
  <si>
    <t>Train_Test</t>
  </si>
  <si>
    <t>FALSE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</si>
  <si>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</si>
  <si>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</si>
  <si>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</si>
  <si>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</si>
  <si>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</si>
  <si>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</si>
  <si>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</si>
  <si>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</si>
  <si>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</si>
  <si>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</si>
  <si>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</si>
  <si>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</si>
  <si>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</si>
  <si>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</si>
  <si>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</si>
  <si>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</si>
  <si>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</si>
  <si>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</si>
  <si>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</si>
  <si>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</si>
  <si>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</si>
  <si>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</si>
  <si>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</si>
  <si>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</si>
  <si>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</si>
  <si>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</si>
  <si>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</si>
  <si>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lambda.min</t>
  </si>
  <si>
    <t>(Intercept)</t>
  </si>
  <si>
    <t>Age</t>
  </si>
  <si>
    <t>arr_statusComa</t>
  </si>
  <si>
    <t>arr_statusDrowsy</t>
  </si>
  <si>
    <t>arr_statusSemicoma</t>
  </si>
  <si>
    <t>arr_statusStupor</t>
  </si>
  <si>
    <t>InjuryHx.InjCause1</t>
  </si>
  <si>
    <t>InjuryHx.InjCause3</t>
  </si>
  <si>
    <t>InjuryHx.InjCause88</t>
  </si>
  <si>
    <t>arr_pp_sizebilaterally mydriatic</t>
  </si>
  <si>
    <t>arr_pp_promptbilateral absence</t>
  </si>
  <si>
    <t>head_neck_AIS4</t>
  </si>
  <si>
    <t>head_neck_AIS5</t>
  </si>
  <si>
    <t>EDHpresent</t>
  </si>
  <si>
    <t>SAHpresent</t>
  </si>
  <si>
    <t>DAIpresent</t>
  </si>
  <si>
    <t>ns(aPTT, df = 4)1</t>
  </si>
  <si>
    <t>ns(aPTT, df = 4)2</t>
  </si>
  <si>
    <t>ns(aPTT, df = 4)3</t>
  </si>
  <si>
    <t>ns(aPTT, df = 4)4</t>
  </si>
  <si>
    <t>ns(CRP, df = 4)1</t>
  </si>
  <si>
    <t>ns(CRP, df = 4)2</t>
  </si>
  <si>
    <t>ns(CRP, df = 4)3</t>
  </si>
  <si>
    <t>ns(CRP, df = 4)4</t>
  </si>
  <si>
    <t>ns(Platelet, df = 4)1</t>
  </si>
  <si>
    <t>ns(Platelet, df = 4)2</t>
  </si>
  <si>
    <t>ns(Platelet, df = 4)3</t>
  </si>
  <si>
    <t>ns(Platelet, df = 4)4</t>
  </si>
  <si>
    <t>ns(AST, df = 4)1</t>
  </si>
  <si>
    <t>ns(AST, df = 4)2</t>
  </si>
  <si>
    <t>ns(AST, df = 4)3</t>
  </si>
  <si>
    <t>ns(AST, df = 4)4</t>
  </si>
  <si>
    <t>ns(Sodium, df = 4)1</t>
  </si>
  <si>
    <t>ns(Sodium, df = 4)2</t>
  </si>
  <si>
    <t>ns(Sodium, df = 4)3</t>
  </si>
  <si>
    <t>ns(Sodium, df = 4)4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</si>
  <si>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</si>
  <si>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</si>
  <si>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</si>
  <si>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</si>
  <si>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</si>
  <si>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</si>
  <si>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</si>
  <si>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</si>
  <si>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</si>
  <si>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</si>
  <si>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</si>
  <si>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</si>
  <si>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</si>
  <si>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</si>
  <si>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1.14e-06</t>
  </si>
  <si>
    <t>6.1e-07</t>
  </si>
  <si>
    <t>5.44e-07</t>
  </si>
  <si>
    <t>arr_status</t>
  </si>
  <si>
    <t>3.12e-09</t>
  </si>
  <si>
    <t>0.311</t>
  </si>
  <si>
    <t>1.08e-05</t>
  </si>
  <si>
    <t>0.00583</t>
  </si>
  <si>
    <t>0.203</t>
  </si>
  <si>
    <t>InjuryHx.InjCause</t>
  </si>
  <si>
    <t>0.0147</t>
  </si>
  <si>
    <t>0.131</t>
  </si>
  <si>
    <t>0.0266</t>
  </si>
  <si>
    <t>0.0152</t>
  </si>
  <si>
    <t>arr_pp_size</t>
  </si>
  <si>
    <t>0.0146</t>
  </si>
  <si>
    <t>8.36e-08</t>
  </si>
  <si>
    <t>arr_pp_prompt</t>
  </si>
  <si>
    <t>9.15e-08</t>
  </si>
  <si>
    <t>0.00348</t>
  </si>
  <si>
    <t>head_neck_AIS</t>
  </si>
  <si>
    <t>7.42e-14</t>
  </si>
  <si>
    <t>1.01e-09</t>
  </si>
  <si>
    <t>9.86e-08</t>
  </si>
  <si>
    <t>EDH</t>
  </si>
  <si>
    <t>2.69e-08</t>
  </si>
  <si>
    <t>0.00347</t>
  </si>
  <si>
    <t>SAH</t>
  </si>
  <si>
    <t>0.0028</t>
  </si>
  <si>
    <t>0.0133</t>
  </si>
  <si>
    <t>DAI</t>
  </si>
  <si>
    <t>0.00194</t>
  </si>
  <si>
    <t>0.295</t>
  </si>
  <si>
    <t>ns(aPTT, df = 4)</t>
  </si>
  <si>
    <t>3.08e-12</t>
  </si>
  <si>
    <t>0.000549</t>
  </si>
  <si>
    <t>0.168</t>
  </si>
  <si>
    <t>0.000106</t>
  </si>
  <si>
    <t>0.177</t>
  </si>
  <si>
    <t>ns(CRP, df = 4)</t>
  </si>
  <si>
    <t>2.02e-08</t>
  </si>
  <si>
    <t>8.62e-06</t>
  </si>
  <si>
    <t>0.388</t>
  </si>
  <si>
    <t>0.00227</t>
  </si>
  <si>
    <t>0.187</t>
  </si>
  <si>
    <t>ns(Platelet, df = 4)</t>
  </si>
  <si>
    <t>0.00279</t>
  </si>
  <si>
    <t>0.631</t>
  </si>
  <si>
    <t>0.0163</t>
  </si>
  <si>
    <t>0.0239</t>
  </si>
  <si>
    <t>0.00582</t>
  </si>
  <si>
    <t>ns(AST, df = 4)</t>
  </si>
  <si>
    <t>0.00291</t>
  </si>
  <si>
    <t>0.00402</t>
  </si>
  <si>
    <t>0.02</t>
  </si>
  <si>
    <t>0.0192</t>
  </si>
  <si>
    <t>0.0178</t>
  </si>
  <si>
    <t>ns(Sodium, df = 4)</t>
  </si>
  <si>
    <t>0.00597</t>
  </si>
  <si>
    <t>0.263</t>
  </si>
  <si>
    <t>0.459</t>
  </si>
  <si>
    <t>0.00859</t>
  </si>
  <si>
    <t>JSON</t>
  </si>
  <si>
    <t>{"formula":"`14d_death` ~ Age + arr_status + InjuryHx.InjCause + arr_pp_size + arr_pp_prompt + head_neck_AIS + EDH + SAH + DAI + ns(aPTT, df = 4) + ns(CRP, df = 4) + ns(Platelet, df = 4) + ns(AST, df = 4) + ns(Sodium, df = 4)","penalty":"lasso","alpha":1,"lambda":0.0065,"x_names":["Age","arr_statusComa","arr_statusDrowsy","arr_statusSemicoma","arr_statusStupor","InjuryHx.InjCause1","InjuryHx.InjCause3","InjuryHx.InjCause88","arr_pp_sizebilaterally mydriatic","arr_pp_promptbilateral absence","head_neck_AIS4","head_neck_AIS5","EDHpresent","SAHpresent","DAIpresent","ns(aPTT, df = 4)1","ns(aPTT, df = 4)2","ns(aPTT, df = 4)3","ns(aPTT, df = 4)4","ns(CRP, df = 4)1","ns(CRP, df = 4)2","ns(CRP, df = 4)3","ns(CRP, df = 4)4","ns(Platelet, df = 4)1","ns(Platelet, df = 4)2","ns(Platelet, df = 4)3","ns(Platelet, df = 4)4","ns(AST, df = 4)1","ns(AST, df = 4)2","ns(AST, df = 4)3","ns(AST, df = 4)4","ns(Sodium, df = 4)1","ns(Sodium, df = 4)2","ns(Sodium, df = 4)3","ns(Sodium, df = 4)4"],"train_test":false,"test_prop":{},"split_seed":{},"standardize":true,"threshold":0.5,"family":"binomial","link":"logit"}</t>
  </si>
  <si>
    <t>OR (95%CI)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</si>
</sst>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14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</row>
    <row r="15" spans="1:2" x14ac:dyDescent="0.3">
      <c r="A15" t="s">
        <v>25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26</v>
      </c>
      <c r="B1" t="s">
        <v>27</v>
      </c>
      <c r="C1" t="s">
        <v>28</v>
      </c>
    </row>
    <row r="2" spans="1:3" x14ac:dyDescent="0.3">
      <c r="A2" t="s">
        <v>29</v>
      </c>
      <c r="B2">
        <v>2889</v>
      </c>
      <c r="C2">
        <v>373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30</v>
      </c>
      <c r="B1" t="s">
        <v>1</v>
      </c>
    </row>
    <row r="2" spans="1:2" x14ac:dyDescent="0.3">
      <c r="A2" t="s">
        <v>31</v>
      </c>
      <c r="B2">
        <v>0.92630000000000001</v>
      </c>
    </row>
    <row r="3" spans="1:2" x14ac:dyDescent="0.3">
      <c r="A3" t="s">
        <v>32</v>
      </c>
      <c r="B3">
        <v>0.91759999999999997</v>
      </c>
    </row>
    <row r="4" spans="1:2" x14ac:dyDescent="0.3">
      <c r="A4" t="s">
        <v>33</v>
      </c>
      <c r="B4">
        <v>0.52010000000000001</v>
      </c>
    </row>
    <row r="5" spans="1:2" x14ac:dyDescent="0.3">
      <c r="A5" t="s">
        <v>34</v>
      </c>
      <c r="B5">
        <v>0.76680000000000004</v>
      </c>
    </row>
    <row r="6" spans="1:2" x14ac:dyDescent="0.3">
      <c r="A6" t="s">
        <v>35</v>
      </c>
      <c r="B6">
        <v>0.61980000000000002</v>
      </c>
    </row>
    <row r="7" spans="1:2" x14ac:dyDescent="0.3">
      <c r="A7" t="s">
        <v>36</v>
      </c>
      <c r="B7">
        <v>0.45079999999999998</v>
      </c>
    </row>
    <row r="8" spans="1:2" x14ac:dyDescent="0.3">
      <c r="A8" t="s">
        <v>37</v>
      </c>
      <c r="B8">
        <v>1270.7660000000001</v>
      </c>
    </row>
    <row r="9" spans="1:2" x14ac:dyDescent="0.3">
      <c r="A9" t="s">
        <v>38</v>
      </c>
      <c r="B9">
        <v>6.1800000000000001E-2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">
      <c r="A2" t="s">
        <v>46</v>
      </c>
      <c r="B2">
        <v>-1.17234767143502E-7</v>
      </c>
      <c r="C2">
        <v>7.0379223800005705E-2</v>
      </c>
      <c r="D2">
        <v>-1.6657581714263301E-6</v>
      </c>
      <c r="E2">
        <v>0.99999867091727301</v>
      </c>
      <c r="F2">
        <v>-0.13794339588277801</v>
      </c>
      <c r="G2">
        <v>0.137943161413244</v>
      </c>
    </row>
    <row r="3" spans="1:7" x14ac:dyDescent="0.3">
      <c r="A3" t="s">
        <v>47</v>
      </c>
      <c r="B3">
        <v>1.1911274190114001</v>
      </c>
      <c r="C3">
        <v>5.2107580281138703E-2</v>
      </c>
      <c r="D3">
        <v>22.859004632048801</v>
      </c>
      <c r="E3">
        <v>1.1891017167976999E-115</v>
      </c>
      <c r="F3">
        <v>1.0889965616603701</v>
      </c>
      <c r="G3">
        <v>1.2932582763624401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48</v>
      </c>
      <c r="B1" t="s">
        <v>49</v>
      </c>
      <c r="C1" t="s">
        <v>50</v>
      </c>
    </row>
    <row r="2" spans="1:3" x14ac:dyDescent="0.3">
      <c r="A2" t="s">
        <v>51</v>
      </c>
      <c r="B2" t="s">
        <v>52</v>
      </c>
      <c r="C2">
        <v>-6.7769816106408403</v>
      </c>
    </row>
    <row r="3" spans="1:3" x14ac:dyDescent="0.3">
      <c r="A3" t="s">
        <v>51</v>
      </c>
      <c r="B3" t="s">
        <v>53</v>
      </c>
      <c r="C3">
        <v>2.6019342277048801E-2</v>
      </c>
    </row>
    <row r="4" spans="1:3" x14ac:dyDescent="0.3">
      <c r="A4" t="s">
        <v>51</v>
      </c>
      <c r="B4" t="s">
        <v>54</v>
      </c>
      <c r="C4">
        <v>1.8542326553175199</v>
      </c>
    </row>
    <row r="5" spans="1:3" x14ac:dyDescent="0.3">
      <c r="A5" t="s">
        <v>51</v>
      </c>
      <c r="B5" t="s">
        <v>55</v>
      </c>
      <c r="C5">
        <v>0.163794154265266</v>
      </c>
    </row>
    <row r="6" spans="1:3" x14ac:dyDescent="0.3">
      <c r="A6" t="s">
        <v>51</v>
      </c>
      <c r="B6" t="s">
        <v>56</v>
      </c>
      <c r="C6">
        <v>1.47533992013101</v>
      </c>
    </row>
    <row r="7" spans="1:3" x14ac:dyDescent="0.3">
      <c r="A7" t="s">
        <v>51</v>
      </c>
      <c r="B7" t="s">
        <v>57</v>
      </c>
      <c r="C7">
        <v>0.85038607369239005</v>
      </c>
    </row>
    <row r="8" spans="1:3" x14ac:dyDescent="0.3">
      <c r="A8" t="s">
        <v>51</v>
      </c>
      <c r="B8" t="s">
        <v>58</v>
      </c>
      <c r="C8">
        <v>0.19488570551332901</v>
      </c>
    </row>
    <row r="9" spans="1:3" x14ac:dyDescent="0.3">
      <c r="A9" t="s">
        <v>51</v>
      </c>
      <c r="B9" t="s">
        <v>59</v>
      </c>
      <c r="C9">
        <v>0.532119358096943</v>
      </c>
    </row>
    <row r="10" spans="1:3" x14ac:dyDescent="0.3">
      <c r="A10" t="s">
        <v>51</v>
      </c>
      <c r="B10" t="s">
        <v>60</v>
      </c>
      <c r="C10">
        <v>-0.68457382790833099</v>
      </c>
    </row>
    <row r="11" spans="1:3" x14ac:dyDescent="0.3">
      <c r="A11" t="s">
        <v>51</v>
      </c>
      <c r="B11" t="s">
        <v>61</v>
      </c>
      <c r="C11">
        <v>0.59503903067333697</v>
      </c>
    </row>
    <row r="12" spans="1:3" x14ac:dyDescent="0.3">
      <c r="A12" t="s">
        <v>51</v>
      </c>
      <c r="B12" t="s">
        <v>62</v>
      </c>
      <c r="C12">
        <v>1.0511737266115599</v>
      </c>
    </row>
    <row r="13" spans="1:3" x14ac:dyDescent="0.3">
      <c r="A13" t="s">
        <v>51</v>
      </c>
      <c r="B13" t="s">
        <v>63</v>
      </c>
      <c r="C13">
        <v>0.94071309099182399</v>
      </c>
    </row>
    <row r="14" spans="1:3" x14ac:dyDescent="0.3">
      <c r="A14" t="s">
        <v>51</v>
      </c>
      <c r="B14" t="s">
        <v>64</v>
      </c>
      <c r="C14">
        <v>1.92927396829241</v>
      </c>
    </row>
    <row r="15" spans="1:3" x14ac:dyDescent="0.3">
      <c r="A15" t="s">
        <v>51</v>
      </c>
      <c r="B15" t="s">
        <v>65</v>
      </c>
      <c r="C15">
        <v>-1.0230338597250399</v>
      </c>
    </row>
    <row r="16" spans="1:3" x14ac:dyDescent="0.3">
      <c r="A16" t="s">
        <v>51</v>
      </c>
      <c r="B16" t="s">
        <v>66</v>
      </c>
      <c r="C16">
        <v>0.62847785463816097</v>
      </c>
    </row>
    <row r="17" spans="1:3" x14ac:dyDescent="0.3">
      <c r="A17" t="s">
        <v>51</v>
      </c>
      <c r="B17" t="s">
        <v>67</v>
      </c>
      <c r="C17">
        <v>-1.7980071194039999</v>
      </c>
    </row>
    <row r="18" spans="1:3" x14ac:dyDescent="0.3">
      <c r="A18" t="s">
        <v>51</v>
      </c>
      <c r="B18" t="s">
        <v>68</v>
      </c>
      <c r="C18">
        <v>0</v>
      </c>
    </row>
    <row r="19" spans="1:3" x14ac:dyDescent="0.3">
      <c r="A19" t="s">
        <v>51</v>
      </c>
      <c r="B19" t="s">
        <v>69</v>
      </c>
      <c r="C19">
        <v>1.8833135820746201</v>
      </c>
    </row>
    <row r="20" spans="1:3" x14ac:dyDescent="0.3">
      <c r="A20" t="s">
        <v>51</v>
      </c>
      <c r="B20" t="s">
        <v>70</v>
      </c>
      <c r="C20">
        <v>0.80019560863140904</v>
      </c>
    </row>
    <row r="21" spans="1:3" x14ac:dyDescent="0.3">
      <c r="A21" t="s">
        <v>51</v>
      </c>
      <c r="B21" t="s">
        <v>71</v>
      </c>
      <c r="C21">
        <v>2.430119740146</v>
      </c>
    </row>
    <row r="22" spans="1:3" x14ac:dyDescent="0.3">
      <c r="A22" t="s">
        <v>51</v>
      </c>
      <c r="B22" t="s">
        <v>72</v>
      </c>
      <c r="C22">
        <v>-0.37231040418268502</v>
      </c>
    </row>
    <row r="23" spans="1:3" x14ac:dyDescent="0.3">
      <c r="A23" t="s">
        <v>51</v>
      </c>
      <c r="B23" t="s">
        <v>73</v>
      </c>
      <c r="C23">
        <v>-1.5366008041961401</v>
      </c>
    </row>
    <row r="24" spans="1:3" x14ac:dyDescent="0.3">
      <c r="A24" t="s">
        <v>51</v>
      </c>
      <c r="B24" t="s">
        <v>74</v>
      </c>
      <c r="C24">
        <v>-0.25475838873019702</v>
      </c>
    </row>
    <row r="25" spans="1:3" x14ac:dyDescent="0.3">
      <c r="A25" t="s">
        <v>51</v>
      </c>
      <c r="B25" t="s">
        <v>75</v>
      </c>
      <c r="C25">
        <v>0.90399207975079199</v>
      </c>
    </row>
    <row r="26" spans="1:3" x14ac:dyDescent="0.3">
      <c r="A26" t="s">
        <v>51</v>
      </c>
      <c r="B26" t="s">
        <v>76</v>
      </c>
      <c r="C26">
        <v>-0.40851813571627299</v>
      </c>
    </row>
    <row r="27" spans="1:3" x14ac:dyDescent="0.3">
      <c r="A27" t="s">
        <v>51</v>
      </c>
      <c r="B27" t="s">
        <v>77</v>
      </c>
      <c r="C27">
        <v>-9.3916976628396098E-2</v>
      </c>
    </row>
    <row r="28" spans="1:3" x14ac:dyDescent="0.3">
      <c r="A28" t="s">
        <v>51</v>
      </c>
      <c r="B28" t="s">
        <v>78</v>
      </c>
      <c r="C28">
        <v>-3.80996586359027</v>
      </c>
    </row>
    <row r="29" spans="1:3" x14ac:dyDescent="0.3">
      <c r="A29" t="s">
        <v>51</v>
      </c>
      <c r="B29" t="s">
        <v>79</v>
      </c>
      <c r="C29">
        <v>-8.0491652157236206</v>
      </c>
    </row>
    <row r="30" spans="1:3" x14ac:dyDescent="0.3">
      <c r="A30" t="s">
        <v>51</v>
      </c>
      <c r="B30" t="s">
        <v>80</v>
      </c>
      <c r="C30">
        <v>1.2078019954654899</v>
      </c>
    </row>
    <row r="31" spans="1:3" x14ac:dyDescent="0.3">
      <c r="A31" t="s">
        <v>51</v>
      </c>
      <c r="B31" t="s">
        <v>81</v>
      </c>
      <c r="C31">
        <v>1.2405851497376901</v>
      </c>
    </row>
    <row r="32" spans="1:3" x14ac:dyDescent="0.3">
      <c r="A32" t="s">
        <v>51</v>
      </c>
      <c r="B32" t="s">
        <v>82</v>
      </c>
      <c r="C32">
        <v>2.0879394566293099</v>
      </c>
    </row>
    <row r="33" spans="1:3" x14ac:dyDescent="0.3">
      <c r="A33" t="s">
        <v>51</v>
      </c>
      <c r="B33" t="s">
        <v>83</v>
      </c>
      <c r="C33">
        <v>0.78030132695358001</v>
      </c>
    </row>
    <row r="34" spans="1:3" x14ac:dyDescent="0.3">
      <c r="A34" t="s">
        <v>51</v>
      </c>
      <c r="B34" t="s">
        <v>84</v>
      </c>
      <c r="C34">
        <v>-0.94152354278086103</v>
      </c>
    </row>
    <row r="35" spans="1:3" x14ac:dyDescent="0.3">
      <c r="A35" t="s">
        <v>51</v>
      </c>
      <c r="B35" t="s">
        <v>85</v>
      </c>
      <c r="C35">
        <v>0.45128086243139498</v>
      </c>
    </row>
    <row r="36" spans="1:3" x14ac:dyDescent="0.3">
      <c r="A36" t="s">
        <v>51</v>
      </c>
      <c r="B36" t="s">
        <v>86</v>
      </c>
      <c r="C36">
        <v>-0.49348841705861302</v>
      </c>
    </row>
    <row r="37" spans="1:3" x14ac:dyDescent="0.3">
      <c r="A37" t="s">
        <v>51</v>
      </c>
      <c r="B37" t="s">
        <v>87</v>
      </c>
      <c r="C37">
        <v>-1.74663329065127</v>
      </c>
    </row>
    <row r="38" spans="1:3" x14ac:dyDescent="0.3">
      <c r="A38" t="s">
        <v>16</v>
      </c>
      <c r="B38" t="s">
        <v>52</v>
      </c>
      <c r="C38">
        <v>-4.36090519061724</v>
      </c>
    </row>
    <row r="39" spans="1:3" x14ac:dyDescent="0.3">
      <c r="A39" t="s">
        <v>16</v>
      </c>
      <c r="B39" t="s">
        <v>53</v>
      </c>
      <c r="C39">
        <v>1.5246016305609201E-2</v>
      </c>
    </row>
    <row r="40" spans="1:3" x14ac:dyDescent="0.3">
      <c r="A40" t="s">
        <v>16</v>
      </c>
      <c r="B40" t="s">
        <v>54</v>
      </c>
      <c r="C40">
        <v>1.30123159125673</v>
      </c>
    </row>
    <row r="41" spans="1:3" x14ac:dyDescent="0.3">
      <c r="A41" t="s">
        <v>16</v>
      </c>
      <c r="B41" t="s">
        <v>55</v>
      </c>
      <c r="C41">
        <v>0</v>
      </c>
    </row>
    <row r="42" spans="1:3" x14ac:dyDescent="0.3">
      <c r="A42" t="s">
        <v>16</v>
      </c>
      <c r="B42" t="s">
        <v>56</v>
      </c>
      <c r="C42">
        <v>0.89600258691444701</v>
      </c>
    </row>
    <row r="43" spans="1:3" x14ac:dyDescent="0.3">
      <c r="A43" t="s">
        <v>16</v>
      </c>
      <c r="B43" t="s">
        <v>57</v>
      </c>
      <c r="C43">
        <v>0.19810348780100401</v>
      </c>
    </row>
    <row r="44" spans="1:3" x14ac:dyDescent="0.3">
      <c r="A44" t="s">
        <v>16</v>
      </c>
      <c r="B44" t="s">
        <v>58</v>
      </c>
      <c r="C44">
        <v>0</v>
      </c>
    </row>
    <row r="45" spans="1:3" x14ac:dyDescent="0.3">
      <c r="A45" t="s">
        <v>16</v>
      </c>
      <c r="B45" t="s">
        <v>59</v>
      </c>
      <c r="C45">
        <v>0</v>
      </c>
    </row>
    <row r="46" spans="1:3" x14ac:dyDescent="0.3">
      <c r="A46" t="s">
        <v>16</v>
      </c>
      <c r="B46" t="s">
        <v>60</v>
      </c>
      <c r="C46">
        <v>-0.28863165492132697</v>
      </c>
    </row>
    <row r="47" spans="1:3" x14ac:dyDescent="0.3">
      <c r="A47" t="s">
        <v>16</v>
      </c>
      <c r="B47" t="s">
        <v>61</v>
      </c>
      <c r="C47">
        <v>0.41441413287360601</v>
      </c>
    </row>
    <row r="48" spans="1:3" x14ac:dyDescent="0.3">
      <c r="A48" t="s">
        <v>16</v>
      </c>
      <c r="B48" t="s">
        <v>62</v>
      </c>
      <c r="C48">
        <v>1.1678407402670601</v>
      </c>
    </row>
    <row r="49" spans="1:3" x14ac:dyDescent="0.3">
      <c r="A49" t="s">
        <v>16</v>
      </c>
      <c r="B49" t="s">
        <v>63</v>
      </c>
      <c r="C49">
        <v>0.15727020254087801</v>
      </c>
    </row>
    <row r="50" spans="1:3" x14ac:dyDescent="0.3">
      <c r="A50" t="s">
        <v>16</v>
      </c>
      <c r="B50" t="s">
        <v>64</v>
      </c>
      <c r="C50">
        <v>1.22922479919898</v>
      </c>
    </row>
    <row r="51" spans="1:3" x14ac:dyDescent="0.3">
      <c r="A51" t="s">
        <v>16</v>
      </c>
      <c r="B51" t="s">
        <v>65</v>
      </c>
      <c r="C51">
        <v>-0.71277179035232496</v>
      </c>
    </row>
    <row r="52" spans="1:3" x14ac:dyDescent="0.3">
      <c r="A52" t="s">
        <v>16</v>
      </c>
      <c r="B52" t="s">
        <v>66</v>
      </c>
      <c r="C52">
        <v>0.44009840417653001</v>
      </c>
    </row>
    <row r="53" spans="1:3" x14ac:dyDescent="0.3">
      <c r="A53" t="s">
        <v>16</v>
      </c>
      <c r="B53" t="s">
        <v>67</v>
      </c>
      <c r="C53">
        <v>-0.69515813666338599</v>
      </c>
    </row>
    <row r="54" spans="1:3" x14ac:dyDescent="0.3">
      <c r="A54" t="s">
        <v>16</v>
      </c>
      <c r="B54" t="s">
        <v>68</v>
      </c>
      <c r="C54">
        <v>-7.29082904763175E-2</v>
      </c>
    </row>
    <row r="55" spans="1:3" x14ac:dyDescent="0.3">
      <c r="A55" t="s">
        <v>16</v>
      </c>
      <c r="B55" t="s">
        <v>69</v>
      </c>
      <c r="C55">
        <v>1.5490257393371001</v>
      </c>
    </row>
    <row r="56" spans="1:3" x14ac:dyDescent="0.3">
      <c r="A56" t="s">
        <v>16</v>
      </c>
      <c r="B56" t="s">
        <v>70</v>
      </c>
      <c r="C56">
        <v>0</v>
      </c>
    </row>
    <row r="57" spans="1:3" x14ac:dyDescent="0.3">
      <c r="A57" t="s">
        <v>16</v>
      </c>
      <c r="B57" t="s">
        <v>71</v>
      </c>
      <c r="C57">
        <v>2.01619816949139</v>
      </c>
    </row>
    <row r="58" spans="1:3" x14ac:dyDescent="0.3">
      <c r="A58" t="s">
        <v>16</v>
      </c>
      <c r="B58" t="s">
        <v>72</v>
      </c>
      <c r="C58">
        <v>0</v>
      </c>
    </row>
    <row r="59" spans="1:3" x14ac:dyDescent="0.3">
      <c r="A59" t="s">
        <v>16</v>
      </c>
      <c r="B59" t="s">
        <v>73</v>
      </c>
      <c r="C59">
        <v>-0.96160042864941198</v>
      </c>
    </row>
    <row r="60" spans="1:3" x14ac:dyDescent="0.3">
      <c r="A60" t="s">
        <v>16</v>
      </c>
      <c r="B60" t="s">
        <v>74</v>
      </c>
      <c r="C60">
        <v>0</v>
      </c>
    </row>
    <row r="61" spans="1:3" x14ac:dyDescent="0.3">
      <c r="A61" t="s">
        <v>16</v>
      </c>
      <c r="B61" t="s">
        <v>75</v>
      </c>
      <c r="C61">
        <v>0.96139105057559104</v>
      </c>
    </row>
    <row r="62" spans="1:3" x14ac:dyDescent="0.3">
      <c r="A62" t="s">
        <v>16</v>
      </c>
      <c r="B62" t="s">
        <v>76</v>
      </c>
      <c r="C62">
        <v>0</v>
      </c>
    </row>
    <row r="63" spans="1:3" x14ac:dyDescent="0.3">
      <c r="A63" t="s">
        <v>16</v>
      </c>
      <c r="B63" t="s">
        <v>77</v>
      </c>
      <c r="C63">
        <v>-0.52580603179323804</v>
      </c>
    </row>
    <row r="64" spans="1:3" x14ac:dyDescent="0.3">
      <c r="A64" t="s">
        <v>16</v>
      </c>
      <c r="B64" t="s">
        <v>78</v>
      </c>
      <c r="C64">
        <v>0</v>
      </c>
    </row>
    <row r="65" spans="1:3" x14ac:dyDescent="0.3">
      <c r="A65" t="s">
        <v>16</v>
      </c>
      <c r="B65" t="s">
        <v>79</v>
      </c>
      <c r="C65">
        <v>-0.93495259837864897</v>
      </c>
    </row>
    <row r="66" spans="1:3" x14ac:dyDescent="0.3">
      <c r="A66" t="s">
        <v>16</v>
      </c>
      <c r="B66" t="s">
        <v>80</v>
      </c>
      <c r="C66">
        <v>8.3924020337185101E-2</v>
      </c>
    </row>
    <row r="67" spans="1:3" x14ac:dyDescent="0.3">
      <c r="A67" t="s">
        <v>16</v>
      </c>
      <c r="B67" t="s">
        <v>81</v>
      </c>
      <c r="C67">
        <v>0.56403975661683503</v>
      </c>
    </row>
    <row r="68" spans="1:3" x14ac:dyDescent="0.3">
      <c r="A68" t="s">
        <v>16</v>
      </c>
      <c r="B68" t="s">
        <v>82</v>
      </c>
      <c r="C68">
        <v>0</v>
      </c>
    </row>
    <row r="69" spans="1:3" x14ac:dyDescent="0.3">
      <c r="A69" t="s">
        <v>16</v>
      </c>
      <c r="B69" t="s">
        <v>83</v>
      </c>
      <c r="C69">
        <v>4.5077797678165603E-2</v>
      </c>
    </row>
    <row r="70" spans="1:3" x14ac:dyDescent="0.3">
      <c r="A70" t="s">
        <v>16</v>
      </c>
      <c r="B70" t="s">
        <v>84</v>
      </c>
      <c r="C70">
        <v>-0.35792590290292697</v>
      </c>
    </row>
    <row r="71" spans="1:3" x14ac:dyDescent="0.3">
      <c r="A71" t="s">
        <v>16</v>
      </c>
      <c r="B71" t="s">
        <v>85</v>
      </c>
      <c r="C71">
        <v>0</v>
      </c>
    </row>
    <row r="72" spans="1:3" x14ac:dyDescent="0.3">
      <c r="A72" t="s">
        <v>16</v>
      </c>
      <c r="B72" t="s">
        <v>86</v>
      </c>
      <c r="C72">
        <v>0</v>
      </c>
    </row>
    <row r="73" spans="1:3" x14ac:dyDescent="0.3">
      <c r="A73" t="s">
        <v>16</v>
      </c>
      <c r="B73" t="s">
        <v>87</v>
      </c>
      <c r="C73">
        <v>-4.7850068557842997E-2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6"/>
  <sheetViews>
    <sheetView tabSelected="1" workbookViewId="0">
      <pane xSplit="1" topLeftCell="B1" activePane="topRight" state="frozen"/>
      <selection pane="topRight" activeCell="J16" sqref="J16"/>
    </sheetView>
  </sheetViews>
  <sheetFormatPr defaultColWidth="11.5546875" defaultRowHeight="14.4" x14ac:dyDescent="0.3"/>
  <sheetData>
    <row r="1" spans="1:18" x14ac:dyDescent="0.3">
      <c r="A1" t="s">
        <v>88</v>
      </c>
      <c r="B1" t="s">
        <v>89</v>
      </c>
      <c r="C1" t="s">
        <v>90</v>
      </c>
      <c r="D1" t="s">
        <v>91</v>
      </c>
      <c r="E1" t="s">
        <v>43</v>
      </c>
      <c r="F1" t="s">
        <v>92</v>
      </c>
      <c r="G1" t="s">
        <v>93</v>
      </c>
      <c r="H1" t="s">
        <v>44</v>
      </c>
      <c r="I1" t="s">
        <v>45</v>
      </c>
      <c r="J1" t="s">
        <v>166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</row>
    <row r="2" spans="1:18" x14ac:dyDescent="0.3">
      <c r="A2" t="s">
        <v>53</v>
      </c>
      <c r="B2">
        <v>2.7542037376805901E-2</v>
      </c>
      <c r="C2">
        <v>5.6593894340697696E-3</v>
      </c>
      <c r="D2">
        <v>4.8666093220236304</v>
      </c>
      <c r="E2">
        <v>1.13529136147506E-6</v>
      </c>
      <c r="F2" t="s">
        <v>102</v>
      </c>
      <c r="G2">
        <v>1.02792482546224</v>
      </c>
      <c r="H2">
        <v>1.0165856742300201</v>
      </c>
      <c r="I2">
        <v>1.0393904553119699</v>
      </c>
      <c r="J2" t="str">
        <f>_xlfn.CONCAT(ROUND(G2,2)," (",ROUND(H2,2),"-",ROUND(I2,2),")")</f>
        <v>1.03 (1.02-1.04)</v>
      </c>
      <c r="K2" t="s">
        <v>53</v>
      </c>
      <c r="L2">
        <v>1.37034822804214</v>
      </c>
      <c r="M2">
        <v>1.37034822804214</v>
      </c>
      <c r="N2">
        <v>1.37034822804214</v>
      </c>
      <c r="O2">
        <v>24.880690928762299</v>
      </c>
      <c r="P2">
        <v>1</v>
      </c>
      <c r="Q2">
        <v>6.09902627624907E-7</v>
      </c>
      <c r="R2" t="s">
        <v>103</v>
      </c>
    </row>
    <row r="3" spans="1:18" x14ac:dyDescent="0.3">
      <c r="A3" t="s">
        <v>54</v>
      </c>
      <c r="B3">
        <v>2.09874000188826</v>
      </c>
      <c r="C3">
        <v>0.41888968749676703</v>
      </c>
      <c r="D3">
        <v>5.0102450944306396</v>
      </c>
      <c r="E3">
        <v>5.4360758400982797E-7</v>
      </c>
      <c r="F3" t="s">
        <v>104</v>
      </c>
      <c r="G3">
        <v>8.1558870334622</v>
      </c>
      <c r="H3">
        <v>3.5884351438550501</v>
      </c>
      <c r="I3">
        <v>18.5369083279951</v>
      </c>
      <c r="J3" t="str">
        <f t="shared" ref="J3:J36" si="0">_xlfn.CONCAT(ROUND(G3,2)," (",ROUND(H3,2),"-",ROUND(I3,2),")")</f>
        <v>8.16 (3.59-18.54)</v>
      </c>
      <c r="K3" t="s">
        <v>105</v>
      </c>
      <c r="L3">
        <v>1.97263489273936</v>
      </c>
      <c r="M3">
        <v>2.3045735549796298</v>
      </c>
      <c r="N3">
        <v>2.2265936213740298</v>
      </c>
      <c r="O3">
        <v>45.508317350549497</v>
      </c>
      <c r="P3">
        <v>4</v>
      </c>
      <c r="Q3">
        <v>3.1169806065705201E-9</v>
      </c>
      <c r="R3" t="s">
        <v>106</v>
      </c>
    </row>
    <row r="4" spans="1:18" x14ac:dyDescent="0.3">
      <c r="A4" t="s">
        <v>55</v>
      </c>
      <c r="B4">
        <v>0.40337070400671099</v>
      </c>
      <c r="C4">
        <v>0.39803556680400398</v>
      </c>
      <c r="D4">
        <v>1.01340366954025</v>
      </c>
      <c r="E4">
        <v>0.31086738736784503</v>
      </c>
      <c r="F4" t="s">
        <v>107</v>
      </c>
      <c r="G4">
        <v>1.49686168144864</v>
      </c>
      <c r="H4">
        <v>0.68606767334614205</v>
      </c>
      <c r="I4">
        <v>3.2658511404002399</v>
      </c>
      <c r="J4" t="str">
        <f t="shared" si="0"/>
        <v>1.5 (0.69-3.27)</v>
      </c>
      <c r="K4" t="s">
        <v>105</v>
      </c>
      <c r="L4">
        <v>1.97263489273936</v>
      </c>
      <c r="M4">
        <v>2.3045735549796298</v>
      </c>
      <c r="N4">
        <v>1.59645357368563</v>
      </c>
      <c r="O4">
        <v>45.508317350549497</v>
      </c>
      <c r="P4">
        <v>4</v>
      </c>
      <c r="Q4">
        <v>3.1169806065705201E-9</v>
      </c>
      <c r="R4" t="s">
        <v>106</v>
      </c>
    </row>
    <row r="5" spans="1:18" x14ac:dyDescent="0.3">
      <c r="A5" t="s">
        <v>56</v>
      </c>
      <c r="B5">
        <v>1.7021080675471001</v>
      </c>
      <c r="C5">
        <v>0.38682641497688203</v>
      </c>
      <c r="D5">
        <v>4.4001857206385999</v>
      </c>
      <c r="E5">
        <v>1.08158269364439E-5</v>
      </c>
      <c r="F5" t="s">
        <v>108</v>
      </c>
      <c r="G5">
        <v>5.4854990141004398</v>
      </c>
      <c r="H5">
        <v>2.57005755652767</v>
      </c>
      <c r="I5">
        <v>11.708181148422099</v>
      </c>
      <c r="J5" t="str">
        <f t="shared" si="0"/>
        <v>5.49 (2.57-11.71)</v>
      </c>
      <c r="K5" t="s">
        <v>105</v>
      </c>
      <c r="L5">
        <v>1.97263489273936</v>
      </c>
      <c r="M5">
        <v>2.3045735549796298</v>
      </c>
      <c r="N5">
        <v>2.3045735549796298</v>
      </c>
      <c r="O5">
        <v>45.508317350549497</v>
      </c>
      <c r="P5">
        <v>4</v>
      </c>
      <c r="Q5">
        <v>3.1169806065705201E-9</v>
      </c>
      <c r="R5" t="s">
        <v>106</v>
      </c>
    </row>
    <row r="6" spans="1:18" x14ac:dyDescent="0.3">
      <c r="A6" t="s">
        <v>57</v>
      </c>
      <c r="B6">
        <v>1.0840293166602</v>
      </c>
      <c r="C6">
        <v>0.39313535492139501</v>
      </c>
      <c r="D6">
        <v>2.7573946303479802</v>
      </c>
      <c r="E6">
        <v>5.8263988016947097E-3</v>
      </c>
      <c r="F6" t="s">
        <v>109</v>
      </c>
      <c r="G6">
        <v>2.9565685335920899</v>
      </c>
      <c r="H6">
        <v>1.36818360040091</v>
      </c>
      <c r="I6">
        <v>6.3889798790640997</v>
      </c>
      <c r="J6" t="str">
        <f t="shared" si="0"/>
        <v>2.96 (1.37-6.39)</v>
      </c>
      <c r="K6" t="s">
        <v>105</v>
      </c>
      <c r="L6">
        <v>1.97263489273936</v>
      </c>
      <c r="M6">
        <v>2.3045735549796298</v>
      </c>
      <c r="N6">
        <v>1.7629188209181299</v>
      </c>
      <c r="O6">
        <v>45.508317350549497</v>
      </c>
      <c r="P6">
        <v>4</v>
      </c>
      <c r="Q6">
        <v>3.1169806065705201E-9</v>
      </c>
      <c r="R6" t="s">
        <v>106</v>
      </c>
    </row>
    <row r="7" spans="1:18" x14ac:dyDescent="0.3">
      <c r="A7" t="s">
        <v>58</v>
      </c>
      <c r="B7">
        <v>0.222489529480218</v>
      </c>
      <c r="C7">
        <v>0.174912381151969</v>
      </c>
      <c r="D7">
        <v>1.2720056065494501</v>
      </c>
      <c r="E7">
        <v>0.20337112725065201</v>
      </c>
      <c r="F7" t="s">
        <v>110</v>
      </c>
      <c r="G7">
        <v>1.2491827399895901</v>
      </c>
      <c r="H7">
        <v>0.88662005431514002</v>
      </c>
      <c r="I7">
        <v>1.7600070179928999</v>
      </c>
      <c r="J7" t="str">
        <f t="shared" si="0"/>
        <v>1.25 (0.89-1.76)</v>
      </c>
      <c r="K7" t="s">
        <v>111</v>
      </c>
      <c r="L7">
        <v>1.1682912707492401</v>
      </c>
      <c r="M7">
        <v>1.2704625826254601</v>
      </c>
      <c r="N7">
        <v>1.2704625826254601</v>
      </c>
      <c r="O7">
        <v>10.508234225694</v>
      </c>
      <c r="P7">
        <v>3</v>
      </c>
      <c r="Q7">
        <v>1.47051435580055E-2</v>
      </c>
      <c r="R7" t="s">
        <v>112</v>
      </c>
    </row>
    <row r="8" spans="1:18" x14ac:dyDescent="0.3">
      <c r="A8" t="s">
        <v>59</v>
      </c>
      <c r="B8">
        <v>0.64236736288127605</v>
      </c>
      <c r="C8">
        <v>0.42502710819210499</v>
      </c>
      <c r="D8">
        <v>1.51135621822723</v>
      </c>
      <c r="E8">
        <v>0.130697717742878</v>
      </c>
      <c r="F8" t="s">
        <v>113</v>
      </c>
      <c r="G8">
        <v>1.90097585626516</v>
      </c>
      <c r="H8">
        <v>0.82639222526657796</v>
      </c>
      <c r="I8">
        <v>4.3728741578339099</v>
      </c>
      <c r="J8" t="str">
        <f t="shared" si="0"/>
        <v>1.9 (0.83-4.37)</v>
      </c>
      <c r="K8" t="s">
        <v>111</v>
      </c>
      <c r="L8">
        <v>1.1682912707492401</v>
      </c>
      <c r="M8">
        <v>1.2704625826254601</v>
      </c>
      <c r="N8">
        <v>1.1409291011901399</v>
      </c>
      <c r="O8">
        <v>10.508234225694</v>
      </c>
      <c r="P8">
        <v>3</v>
      </c>
      <c r="Q8">
        <v>1.47051435580055E-2</v>
      </c>
      <c r="R8" t="s">
        <v>112</v>
      </c>
    </row>
    <row r="9" spans="1:18" x14ac:dyDescent="0.3">
      <c r="A9" t="s">
        <v>60</v>
      </c>
      <c r="B9">
        <v>-0.70703695998286797</v>
      </c>
      <c r="C9">
        <v>0.31896389760150001</v>
      </c>
      <c r="D9">
        <v>-2.21666767085412</v>
      </c>
      <c r="E9">
        <v>2.6645809550516701E-2</v>
      </c>
      <c r="F9" t="s">
        <v>114</v>
      </c>
      <c r="G9">
        <v>0.49310311924665301</v>
      </c>
      <c r="H9">
        <v>0.263894414929919</v>
      </c>
      <c r="I9">
        <v>0.92139383198144098</v>
      </c>
      <c r="J9" t="str">
        <f t="shared" si="0"/>
        <v>0.49 (0.26-0.92)</v>
      </c>
      <c r="K9" t="s">
        <v>111</v>
      </c>
      <c r="L9">
        <v>1.1682912707492401</v>
      </c>
      <c r="M9">
        <v>1.2704625826254601</v>
      </c>
      <c r="N9">
        <v>1.0934821284321099</v>
      </c>
      <c r="O9">
        <v>10.508234225694</v>
      </c>
      <c r="P9">
        <v>3</v>
      </c>
      <c r="Q9">
        <v>1.47051435580055E-2</v>
      </c>
      <c r="R9" t="s">
        <v>112</v>
      </c>
    </row>
    <row r="10" spans="1:18" x14ac:dyDescent="0.3">
      <c r="A10" t="s">
        <v>61</v>
      </c>
      <c r="B10">
        <v>0.63307873422706795</v>
      </c>
      <c r="C10">
        <v>0.26080202606332498</v>
      </c>
      <c r="D10">
        <v>2.42743027645556</v>
      </c>
      <c r="E10">
        <v>1.52062093873707E-2</v>
      </c>
      <c r="F10" t="s">
        <v>115</v>
      </c>
      <c r="G10">
        <v>1.8834001509229601</v>
      </c>
      <c r="H10">
        <v>1.12964877196902</v>
      </c>
      <c r="I10">
        <v>3.1400876241504001</v>
      </c>
      <c r="J10" t="str">
        <f t="shared" si="0"/>
        <v>1.88 (1.13-3.14)</v>
      </c>
      <c r="K10" t="s">
        <v>116</v>
      </c>
      <c r="L10">
        <v>1.4418733482213799</v>
      </c>
      <c r="M10">
        <v>1.4418733482213799</v>
      </c>
      <c r="N10">
        <v>1.4418733482213799</v>
      </c>
      <c r="O10">
        <v>5.9642953286217999</v>
      </c>
      <c r="P10">
        <v>1</v>
      </c>
      <c r="Q10">
        <v>1.45984336611468E-2</v>
      </c>
      <c r="R10" t="s">
        <v>117</v>
      </c>
    </row>
    <row r="11" spans="1:18" x14ac:dyDescent="0.3">
      <c r="A11" t="s">
        <v>62</v>
      </c>
      <c r="B11">
        <v>1.04076810494413</v>
      </c>
      <c r="C11">
        <v>0.194199612670582</v>
      </c>
      <c r="D11">
        <v>5.3592697257824504</v>
      </c>
      <c r="E11">
        <v>8.3559024046719699E-8</v>
      </c>
      <c r="F11" t="s">
        <v>118</v>
      </c>
      <c r="G11">
        <v>2.83139098474012</v>
      </c>
      <c r="H11">
        <v>1.9350571561543899</v>
      </c>
      <c r="I11">
        <v>4.1429137547542298</v>
      </c>
      <c r="J11" t="str">
        <f t="shared" si="0"/>
        <v>2.83 (1.94-4.14)</v>
      </c>
      <c r="K11" t="s">
        <v>119</v>
      </c>
      <c r="L11">
        <v>1.9660969130630499</v>
      </c>
      <c r="M11">
        <v>1.9660969130630499</v>
      </c>
      <c r="N11">
        <v>1.9660969130630499</v>
      </c>
      <c r="O11">
        <v>28.545043817917801</v>
      </c>
      <c r="P11">
        <v>1</v>
      </c>
      <c r="Q11">
        <v>9.1543850559536704E-8</v>
      </c>
      <c r="R11" t="s">
        <v>120</v>
      </c>
    </row>
    <row r="12" spans="1:18" x14ac:dyDescent="0.3">
      <c r="A12" t="s">
        <v>63</v>
      </c>
      <c r="B12">
        <v>1.0123665596934499</v>
      </c>
      <c r="C12">
        <v>0.34644757649591101</v>
      </c>
      <c r="D12">
        <v>2.9221349155704002</v>
      </c>
      <c r="E12">
        <v>3.4764091616910002E-3</v>
      </c>
      <c r="F12" t="s">
        <v>121</v>
      </c>
      <c r="G12">
        <v>2.7521063382951301</v>
      </c>
      <c r="H12">
        <v>1.3956068097504899</v>
      </c>
      <c r="I12">
        <v>5.4270939668446703</v>
      </c>
      <c r="J12" t="str">
        <f t="shared" si="0"/>
        <v>2.75 (1.4-5.43)</v>
      </c>
      <c r="K12" t="s">
        <v>122</v>
      </c>
      <c r="L12">
        <v>1.6780116498275599</v>
      </c>
      <c r="M12">
        <v>1.9410587268966899</v>
      </c>
      <c r="N12">
        <v>1.4149645727584299</v>
      </c>
      <c r="O12">
        <v>60.463158589523999</v>
      </c>
      <c r="P12">
        <v>2</v>
      </c>
      <c r="Q12">
        <v>7.4232131843408495E-14</v>
      </c>
      <c r="R12" t="s">
        <v>123</v>
      </c>
    </row>
    <row r="13" spans="1:18" x14ac:dyDescent="0.3">
      <c r="A13" t="s">
        <v>64</v>
      </c>
      <c r="B13">
        <v>1.99034607556806</v>
      </c>
      <c r="C13">
        <v>0.32583772058770899</v>
      </c>
      <c r="D13">
        <v>6.10839675645318</v>
      </c>
      <c r="E13">
        <v>1.0063692642430901E-9</v>
      </c>
      <c r="F13" t="s">
        <v>124</v>
      </c>
      <c r="G13">
        <v>7.3180659279470701</v>
      </c>
      <c r="H13">
        <v>3.8640047406126601</v>
      </c>
      <c r="I13">
        <v>13.8597368587308</v>
      </c>
      <c r="J13" t="str">
        <f t="shared" si="0"/>
        <v>7.32 (3.86-13.86)</v>
      </c>
      <c r="K13" t="s">
        <v>122</v>
      </c>
      <c r="L13">
        <v>1.6780116498275599</v>
      </c>
      <c r="M13">
        <v>1.9410587268966899</v>
      </c>
      <c r="N13">
        <v>1.9410587268966899</v>
      </c>
      <c r="O13">
        <v>60.463158589523999</v>
      </c>
      <c r="P13">
        <v>2</v>
      </c>
      <c r="Q13">
        <v>7.4232131843408495E-14</v>
      </c>
      <c r="R13" t="s">
        <v>123</v>
      </c>
    </row>
    <row r="14" spans="1:18" x14ac:dyDescent="0.3">
      <c r="A14" t="s">
        <v>65</v>
      </c>
      <c r="B14">
        <v>-1.06687169636645</v>
      </c>
      <c r="C14">
        <v>0.20019308167275199</v>
      </c>
      <c r="D14">
        <v>-5.3292136144365898</v>
      </c>
      <c r="E14">
        <v>9.8638925767600401E-8</v>
      </c>
      <c r="F14" t="s">
        <v>125</v>
      </c>
      <c r="G14">
        <v>0.34408323235094601</v>
      </c>
      <c r="H14">
        <v>0.23241048555733099</v>
      </c>
      <c r="I14">
        <v>0.50941449780616799</v>
      </c>
      <c r="J14" t="str">
        <f t="shared" si="0"/>
        <v>0.34 (0.23-0.51)</v>
      </c>
      <c r="K14" t="s">
        <v>126</v>
      </c>
      <c r="L14">
        <v>1.15122139182094</v>
      </c>
      <c r="M14">
        <v>1.15122139182094</v>
      </c>
      <c r="N14">
        <v>1.15122139182094</v>
      </c>
      <c r="O14">
        <v>30.916800233478199</v>
      </c>
      <c r="P14">
        <v>1</v>
      </c>
      <c r="Q14">
        <v>2.6933016711697599E-8</v>
      </c>
      <c r="R14" t="s">
        <v>127</v>
      </c>
    </row>
    <row r="15" spans="1:18" x14ac:dyDescent="0.3">
      <c r="A15" t="s">
        <v>66</v>
      </c>
      <c r="B15">
        <v>0.62080484353452603</v>
      </c>
      <c r="C15">
        <v>0.21242762992980499</v>
      </c>
      <c r="D15">
        <v>2.9224298352322</v>
      </c>
      <c r="E15">
        <v>3.47311864526694E-3</v>
      </c>
      <c r="F15" t="s">
        <v>128</v>
      </c>
      <c r="G15">
        <v>1.8604247903053299</v>
      </c>
      <c r="H15">
        <v>1.2268460495556801</v>
      </c>
      <c r="I15">
        <v>2.8212018954099101</v>
      </c>
      <c r="J15" t="str">
        <f t="shared" si="0"/>
        <v>1.86 (1.23-2.82)</v>
      </c>
      <c r="K15" t="s">
        <v>129</v>
      </c>
      <c r="L15">
        <v>1.1611664838320299</v>
      </c>
      <c r="M15">
        <v>1.1611664838320299</v>
      </c>
      <c r="N15">
        <v>1.1611664838320299</v>
      </c>
      <c r="O15">
        <v>8.9361011366768306</v>
      </c>
      <c r="P15">
        <v>1</v>
      </c>
      <c r="Q15">
        <v>2.7958886791615502E-3</v>
      </c>
      <c r="R15" t="s">
        <v>130</v>
      </c>
    </row>
    <row r="16" spans="1:18" x14ac:dyDescent="0.3">
      <c r="A16" t="s">
        <v>67</v>
      </c>
      <c r="B16">
        <v>-1.9627098746898499</v>
      </c>
      <c r="C16">
        <v>0.79320503574552303</v>
      </c>
      <c r="D16">
        <v>-2.47440420350474</v>
      </c>
      <c r="E16">
        <v>1.33458607014625E-2</v>
      </c>
      <c r="F16" t="s">
        <v>131</v>
      </c>
      <c r="G16">
        <v>0.140477228975812</v>
      </c>
      <c r="H16">
        <v>2.9676738820037501E-2</v>
      </c>
      <c r="I16">
        <v>0.66496025659661295</v>
      </c>
      <c r="J16" t="str">
        <f t="shared" si="0"/>
        <v>0.14 (0.03-0.66)</v>
      </c>
      <c r="K16" t="s">
        <v>132</v>
      </c>
      <c r="L16">
        <v>1.0948204562566599</v>
      </c>
      <c r="M16">
        <v>1.0948204562566599</v>
      </c>
      <c r="N16">
        <v>1.0948204562566599</v>
      </c>
      <c r="O16">
        <v>9.6064450611481806</v>
      </c>
      <c r="P16">
        <v>1</v>
      </c>
      <c r="Q16">
        <v>1.93895634410107E-3</v>
      </c>
      <c r="R16" t="s">
        <v>133</v>
      </c>
    </row>
    <row r="17" spans="1:18" x14ac:dyDescent="0.3">
      <c r="A17" t="s">
        <v>68</v>
      </c>
      <c r="B17">
        <v>1.1947085891991001</v>
      </c>
      <c r="C17">
        <v>1.1398992437353199</v>
      </c>
      <c r="D17">
        <v>1.0480826228853199</v>
      </c>
      <c r="E17">
        <v>0.29460054169783201</v>
      </c>
      <c r="F17" t="s">
        <v>134</v>
      </c>
      <c r="G17">
        <v>3.3025952183418101</v>
      </c>
      <c r="H17">
        <v>0.353633600561025</v>
      </c>
      <c r="I17">
        <v>30.843039685455501</v>
      </c>
      <c r="J17" t="str">
        <f t="shared" si="0"/>
        <v>3.3 (0.35-30.84)</v>
      </c>
      <c r="K17" t="s">
        <v>135</v>
      </c>
      <c r="L17">
        <v>5.8186095140386103</v>
      </c>
      <c r="M17">
        <v>11.509157747619501</v>
      </c>
      <c r="N17">
        <v>6.6456374696233196</v>
      </c>
      <c r="O17">
        <v>59.876778591998097</v>
      </c>
      <c r="P17">
        <v>4</v>
      </c>
      <c r="Q17">
        <v>3.0790761625443398E-12</v>
      </c>
      <c r="R17" t="s">
        <v>136</v>
      </c>
    </row>
    <row r="18" spans="1:18" x14ac:dyDescent="0.3">
      <c r="A18" t="s">
        <v>69</v>
      </c>
      <c r="B18">
        <v>2.5278243043142901</v>
      </c>
      <c r="C18">
        <v>0.73148923980967195</v>
      </c>
      <c r="D18">
        <v>3.45572315591685</v>
      </c>
      <c r="E18">
        <v>5.4881868663315102E-4</v>
      </c>
      <c r="F18" t="s">
        <v>137</v>
      </c>
      <c r="G18">
        <v>12.526223217952801</v>
      </c>
      <c r="H18">
        <v>2.9865097392824098</v>
      </c>
      <c r="I18">
        <v>52.538341342787803</v>
      </c>
      <c r="J18" t="str">
        <f t="shared" si="0"/>
        <v>12.53 (2.99-52.54)</v>
      </c>
      <c r="K18" t="s">
        <v>135</v>
      </c>
      <c r="L18">
        <v>5.8186095140386103</v>
      </c>
      <c r="M18">
        <v>11.509157747619501</v>
      </c>
      <c r="N18">
        <v>3.0496746908421701</v>
      </c>
      <c r="O18">
        <v>59.876778591998097</v>
      </c>
      <c r="P18">
        <v>4</v>
      </c>
      <c r="Q18">
        <v>3.0790761625443398E-12</v>
      </c>
      <c r="R18" t="s">
        <v>136</v>
      </c>
    </row>
    <row r="19" spans="1:18" x14ac:dyDescent="0.3">
      <c r="A19" t="s">
        <v>70</v>
      </c>
      <c r="B19">
        <v>3.42571139222968</v>
      </c>
      <c r="C19">
        <v>2.4821490702897901</v>
      </c>
      <c r="D19">
        <v>1.3801392644921699</v>
      </c>
      <c r="E19">
        <v>0.16754376989030501</v>
      </c>
      <c r="F19" t="s">
        <v>138</v>
      </c>
      <c r="G19">
        <v>30.744508478210602</v>
      </c>
      <c r="H19">
        <v>0.23709347992796301</v>
      </c>
      <c r="I19">
        <v>3986.71782055733</v>
      </c>
      <c r="J19" t="str">
        <f t="shared" si="0"/>
        <v>30.74 (0.24-3986.72)</v>
      </c>
      <c r="K19" t="s">
        <v>135</v>
      </c>
      <c r="L19">
        <v>5.8186095140386103</v>
      </c>
      <c r="M19">
        <v>11.509157747619501</v>
      </c>
      <c r="N19">
        <v>11.509157747619501</v>
      </c>
      <c r="O19">
        <v>59.876778591998097</v>
      </c>
      <c r="P19">
        <v>4</v>
      </c>
      <c r="Q19">
        <v>3.0790761625443398E-12</v>
      </c>
      <c r="R19" t="s">
        <v>136</v>
      </c>
    </row>
    <row r="20" spans="1:18" x14ac:dyDescent="0.3">
      <c r="A20" t="s">
        <v>71</v>
      </c>
      <c r="B20">
        <v>3.0426043965020599</v>
      </c>
      <c r="C20">
        <v>0.78503244741976097</v>
      </c>
      <c r="D20">
        <v>3.87576896534974</v>
      </c>
      <c r="E20">
        <v>1.06288498992478E-4</v>
      </c>
      <c r="F20" t="s">
        <v>139</v>
      </c>
      <c r="G20">
        <v>20.9597597379287</v>
      </c>
      <c r="H20">
        <v>4.4993853545041302</v>
      </c>
      <c r="I20">
        <v>97.638120245006505</v>
      </c>
      <c r="J20" t="str">
        <f t="shared" si="0"/>
        <v>20.96 (4.5-97.64)</v>
      </c>
      <c r="K20" t="s">
        <v>135</v>
      </c>
      <c r="L20">
        <v>5.8186095140386103</v>
      </c>
      <c r="M20">
        <v>11.509157747619501</v>
      </c>
      <c r="N20">
        <v>2.0699681480694601</v>
      </c>
      <c r="O20">
        <v>59.876778591998097</v>
      </c>
      <c r="P20">
        <v>4</v>
      </c>
      <c r="Q20">
        <v>3.0790761625443398E-12</v>
      </c>
      <c r="R20" t="s">
        <v>136</v>
      </c>
    </row>
    <row r="21" spans="1:18" x14ac:dyDescent="0.3">
      <c r="A21" t="s">
        <v>72</v>
      </c>
      <c r="B21">
        <v>-0.43912167288495202</v>
      </c>
      <c r="C21">
        <v>0.32560319203771299</v>
      </c>
      <c r="D21">
        <v>-1.34864056502889</v>
      </c>
      <c r="E21">
        <v>0.17745244453120601</v>
      </c>
      <c r="F21" t="s">
        <v>140</v>
      </c>
      <c r="G21">
        <v>0.64460234423129803</v>
      </c>
      <c r="H21">
        <v>0.340512334534118</v>
      </c>
      <c r="I21">
        <v>1.22025589104424</v>
      </c>
      <c r="J21" t="str">
        <f t="shared" si="0"/>
        <v>0.64 (0.34-1.22)</v>
      </c>
      <c r="K21" t="s">
        <v>141</v>
      </c>
      <c r="L21">
        <v>1.5147918742300099</v>
      </c>
      <c r="M21">
        <v>1.7766271031854299</v>
      </c>
      <c r="N21">
        <v>1.2904988247089499</v>
      </c>
      <c r="O21">
        <v>41.6030697811766</v>
      </c>
      <c r="P21">
        <v>4</v>
      </c>
      <c r="Q21">
        <v>2.01602193076527E-8</v>
      </c>
      <c r="R21" t="s">
        <v>142</v>
      </c>
    </row>
    <row r="22" spans="1:18" x14ac:dyDescent="0.3">
      <c r="A22" t="s">
        <v>73</v>
      </c>
      <c r="B22">
        <v>-1.66276678233367</v>
      </c>
      <c r="C22">
        <v>0.37372602852430098</v>
      </c>
      <c r="D22">
        <v>-4.4491596929956803</v>
      </c>
      <c r="E22">
        <v>8.6206903264911107E-6</v>
      </c>
      <c r="F22" t="s">
        <v>143</v>
      </c>
      <c r="G22">
        <v>0.18961363402468601</v>
      </c>
      <c r="H22">
        <v>9.1148084012150396E-2</v>
      </c>
      <c r="I22">
        <v>0.39444965407341598</v>
      </c>
      <c r="J22" t="str">
        <f t="shared" si="0"/>
        <v>0.19 (0.09-0.39)</v>
      </c>
      <c r="K22" t="s">
        <v>141</v>
      </c>
      <c r="L22">
        <v>1.5147918742300099</v>
      </c>
      <c r="M22">
        <v>1.7766271031854299</v>
      </c>
      <c r="N22">
        <v>1.7766271031854299</v>
      </c>
      <c r="O22">
        <v>41.6030697811766</v>
      </c>
      <c r="P22">
        <v>4</v>
      </c>
      <c r="Q22">
        <v>2.01602193076527E-8</v>
      </c>
      <c r="R22" t="s">
        <v>142</v>
      </c>
    </row>
    <row r="23" spans="1:18" x14ac:dyDescent="0.3">
      <c r="A23" t="s">
        <v>74</v>
      </c>
      <c r="B23">
        <v>-0.48110592750523301</v>
      </c>
      <c r="C23">
        <v>0.55716521049131695</v>
      </c>
      <c r="D23">
        <v>-0.86348881524922605</v>
      </c>
      <c r="E23">
        <v>0.387868766335564</v>
      </c>
      <c r="F23" t="s">
        <v>144</v>
      </c>
      <c r="G23">
        <v>0.61809944050334997</v>
      </c>
      <c r="H23">
        <v>0.207390925021324</v>
      </c>
      <c r="I23">
        <v>1.84215832159133</v>
      </c>
      <c r="J23" t="str">
        <f t="shared" si="0"/>
        <v>0.62 (0.21-1.84)</v>
      </c>
      <c r="K23" t="s">
        <v>141</v>
      </c>
      <c r="L23">
        <v>1.5147918742300099</v>
      </c>
      <c r="M23">
        <v>1.7766271031854299</v>
      </c>
      <c r="N23">
        <v>1.45811476374033</v>
      </c>
      <c r="O23">
        <v>41.6030697811766</v>
      </c>
      <c r="P23">
        <v>4</v>
      </c>
      <c r="Q23">
        <v>2.01602193076527E-8</v>
      </c>
      <c r="R23" t="s">
        <v>142</v>
      </c>
    </row>
    <row r="24" spans="1:18" x14ac:dyDescent="0.3">
      <c r="A24" t="s">
        <v>75</v>
      </c>
      <c r="B24">
        <v>0.91143071939508402</v>
      </c>
      <c r="C24">
        <v>0.29854477609285002</v>
      </c>
      <c r="D24">
        <v>3.05291129633305</v>
      </c>
      <c r="E24">
        <v>2.2663291945664598E-3</v>
      </c>
      <c r="F24" t="s">
        <v>145</v>
      </c>
      <c r="G24">
        <v>2.4878794456819402</v>
      </c>
      <c r="H24">
        <v>1.3858074390525099</v>
      </c>
      <c r="I24">
        <v>4.4663810871722198</v>
      </c>
      <c r="J24" t="str">
        <f t="shared" si="0"/>
        <v>2.49 (1.39-4.47)</v>
      </c>
      <c r="K24" t="s">
        <v>141</v>
      </c>
      <c r="L24">
        <v>1.5147918742300099</v>
      </c>
      <c r="M24">
        <v>1.7766271031854299</v>
      </c>
      <c r="N24">
        <v>1.5339268052853401</v>
      </c>
      <c r="O24">
        <v>41.6030697811766</v>
      </c>
      <c r="P24">
        <v>4</v>
      </c>
      <c r="Q24">
        <v>2.01602193076527E-8</v>
      </c>
      <c r="R24" t="s">
        <v>142</v>
      </c>
    </row>
    <row r="25" spans="1:18" x14ac:dyDescent="0.3">
      <c r="A25" t="s">
        <v>76</v>
      </c>
      <c r="B25">
        <v>-0.795757424862097</v>
      </c>
      <c r="C25">
        <v>0.60293730450566196</v>
      </c>
      <c r="D25">
        <v>-1.3198012777042001</v>
      </c>
      <c r="E25">
        <v>0.18690137491366199</v>
      </c>
      <c r="F25" t="s">
        <v>146</v>
      </c>
      <c r="G25">
        <v>0.451239325569674</v>
      </c>
      <c r="H25">
        <v>0.138412829458782</v>
      </c>
      <c r="I25">
        <v>1.47108421767513</v>
      </c>
      <c r="J25" t="str">
        <f t="shared" si="0"/>
        <v>0.45 (0.14-1.47)</v>
      </c>
      <c r="K25" t="s">
        <v>147</v>
      </c>
      <c r="L25">
        <v>8.7990235746873395</v>
      </c>
      <c r="M25">
        <v>16.088066546606001</v>
      </c>
      <c r="N25">
        <v>6.7998382095741103</v>
      </c>
      <c r="O25">
        <v>16.174684715920598</v>
      </c>
      <c r="P25">
        <v>4</v>
      </c>
      <c r="Q25">
        <v>2.7935003538928499E-3</v>
      </c>
      <c r="R25" t="s">
        <v>148</v>
      </c>
    </row>
    <row r="26" spans="1:18" x14ac:dyDescent="0.3">
      <c r="A26" t="s">
        <v>77</v>
      </c>
      <c r="B26">
        <v>0.51229220067458103</v>
      </c>
      <c r="C26">
        <v>1.0658492714199099</v>
      </c>
      <c r="D26">
        <v>0.48064225816105599</v>
      </c>
      <c r="E26">
        <v>0.63077077611537402</v>
      </c>
      <c r="F26" t="s">
        <v>149</v>
      </c>
      <c r="G26">
        <v>1.6691127547640501</v>
      </c>
      <c r="H26">
        <v>0.20664098337856701</v>
      </c>
      <c r="I26">
        <v>13.4820176644832</v>
      </c>
      <c r="J26" t="str">
        <f t="shared" si="0"/>
        <v>1.67 (0.21-13.48)</v>
      </c>
      <c r="K26" t="s">
        <v>147</v>
      </c>
      <c r="L26">
        <v>8.7990235746873395</v>
      </c>
      <c r="M26">
        <v>16.088066546606001</v>
      </c>
      <c r="N26">
        <v>4.0224247272907103</v>
      </c>
      <c r="O26">
        <v>16.174684715920598</v>
      </c>
      <c r="P26">
        <v>4</v>
      </c>
      <c r="Q26">
        <v>2.7935003538928499E-3</v>
      </c>
      <c r="R26" t="s">
        <v>148</v>
      </c>
    </row>
    <row r="27" spans="1:18" x14ac:dyDescent="0.3">
      <c r="A27" t="s">
        <v>78</v>
      </c>
      <c r="B27">
        <v>-8.0190824449407607</v>
      </c>
      <c r="C27">
        <v>3.3381435606315102</v>
      </c>
      <c r="D27">
        <v>-2.4022581112190702</v>
      </c>
      <c r="E27">
        <v>1.6294206819038301E-2</v>
      </c>
      <c r="F27" t="s">
        <v>150</v>
      </c>
      <c r="G27">
        <v>3.2912187174988401E-4</v>
      </c>
      <c r="H27">
        <v>4.7410177468280302E-7</v>
      </c>
      <c r="I27">
        <v>0.228476694770061</v>
      </c>
      <c r="J27" t="str">
        <f t="shared" si="0"/>
        <v>0 (0-0.23)</v>
      </c>
      <c r="K27" t="s">
        <v>147</v>
      </c>
      <c r="L27">
        <v>8.7990235746873395</v>
      </c>
      <c r="M27">
        <v>16.088066546606001</v>
      </c>
      <c r="N27">
        <v>16.088066546606001</v>
      </c>
      <c r="O27">
        <v>16.174684715920598</v>
      </c>
      <c r="P27">
        <v>4</v>
      </c>
      <c r="Q27">
        <v>2.7935003538928499E-3</v>
      </c>
      <c r="R27" t="s">
        <v>148</v>
      </c>
    </row>
    <row r="28" spans="1:18" x14ac:dyDescent="0.3">
      <c r="A28" t="s">
        <v>79</v>
      </c>
      <c r="B28">
        <v>-15.772011831821301</v>
      </c>
      <c r="C28">
        <v>6.9847530337395298</v>
      </c>
      <c r="D28">
        <v>-2.2580629201398099</v>
      </c>
      <c r="E28">
        <v>2.39417369633434E-2</v>
      </c>
      <c r="F28" t="s">
        <v>151</v>
      </c>
      <c r="G28">
        <v>1.41352109097041E-7</v>
      </c>
      <c r="H28">
        <v>1.6023614236496E-13</v>
      </c>
      <c r="I28">
        <v>0.124693583178468</v>
      </c>
      <c r="J28" t="str">
        <f t="shared" si="0"/>
        <v>0 (0-0.12)</v>
      </c>
      <c r="K28" t="s">
        <v>147</v>
      </c>
      <c r="L28">
        <v>8.7990235746873395</v>
      </c>
      <c r="M28">
        <v>16.088066546606001</v>
      </c>
      <c r="N28">
        <v>8.2857648152785597</v>
      </c>
      <c r="O28">
        <v>16.174684715920598</v>
      </c>
      <c r="P28">
        <v>4</v>
      </c>
      <c r="Q28">
        <v>2.7935003538928499E-3</v>
      </c>
      <c r="R28" t="s">
        <v>148</v>
      </c>
    </row>
    <row r="29" spans="1:18" x14ac:dyDescent="0.3">
      <c r="A29" t="s">
        <v>80</v>
      </c>
      <c r="B29">
        <v>1.63003142278316</v>
      </c>
      <c r="C29">
        <v>0.59101285374423695</v>
      </c>
      <c r="D29">
        <v>2.75803040907899</v>
      </c>
      <c r="E29">
        <v>5.8150788117614502E-3</v>
      </c>
      <c r="F29" t="s">
        <v>152</v>
      </c>
      <c r="G29">
        <v>5.10403509900505</v>
      </c>
      <c r="H29">
        <v>1.60263032000862</v>
      </c>
      <c r="I29">
        <v>16.255261095856099</v>
      </c>
      <c r="J29" t="str">
        <f t="shared" si="0"/>
        <v>5.1 (1.6-16.26)</v>
      </c>
      <c r="K29" t="s">
        <v>153</v>
      </c>
      <c r="L29">
        <v>2.4299551155177102</v>
      </c>
      <c r="M29">
        <v>3.6578319921010598</v>
      </c>
      <c r="N29">
        <v>2.2780256452349099</v>
      </c>
      <c r="O29">
        <v>16.0862599763784</v>
      </c>
      <c r="P29">
        <v>4</v>
      </c>
      <c r="Q29">
        <v>2.90557307531642E-3</v>
      </c>
      <c r="R29" t="s">
        <v>154</v>
      </c>
    </row>
    <row r="30" spans="1:18" x14ac:dyDescent="0.3">
      <c r="A30" t="s">
        <v>81</v>
      </c>
      <c r="B30">
        <v>1.47286071888644</v>
      </c>
      <c r="C30">
        <v>0.51206933126339005</v>
      </c>
      <c r="D30">
        <v>2.8762916053819398</v>
      </c>
      <c r="E30">
        <v>4.0237779399536298E-3</v>
      </c>
      <c r="F30" t="s">
        <v>155</v>
      </c>
      <c r="G30">
        <v>4.3616948935997799</v>
      </c>
      <c r="H30">
        <v>1.5987224309119199</v>
      </c>
      <c r="I30">
        <v>11.899740678563401</v>
      </c>
      <c r="J30" t="str">
        <f t="shared" si="0"/>
        <v>4.36 (1.6-11.9)</v>
      </c>
      <c r="K30" t="s">
        <v>153</v>
      </c>
      <c r="L30">
        <v>2.4299551155177102</v>
      </c>
      <c r="M30">
        <v>3.6578319921010598</v>
      </c>
      <c r="N30">
        <v>2.2121848947484799</v>
      </c>
      <c r="O30">
        <v>16.0862599763784</v>
      </c>
      <c r="P30">
        <v>4</v>
      </c>
      <c r="Q30">
        <v>2.90557307531642E-3</v>
      </c>
      <c r="R30" t="s">
        <v>154</v>
      </c>
    </row>
    <row r="31" spans="1:18" x14ac:dyDescent="0.3">
      <c r="A31" t="s">
        <v>82</v>
      </c>
      <c r="B31">
        <v>3.0129583522572001</v>
      </c>
      <c r="C31">
        <v>1.29494994803664</v>
      </c>
      <c r="D31">
        <v>2.3266986935096199</v>
      </c>
      <c r="E31">
        <v>1.9981307448440198E-2</v>
      </c>
      <c r="F31" t="s">
        <v>156</v>
      </c>
      <c r="G31">
        <v>20.347506064331899</v>
      </c>
      <c r="H31">
        <v>1.60778339021537</v>
      </c>
      <c r="I31">
        <v>257.510436765093</v>
      </c>
      <c r="J31" t="str">
        <f t="shared" si="0"/>
        <v>20.35 (1.61-257.51)</v>
      </c>
      <c r="K31" t="s">
        <v>153</v>
      </c>
      <c r="L31">
        <v>2.4299551155177102</v>
      </c>
      <c r="M31">
        <v>3.6578319921010598</v>
      </c>
      <c r="N31">
        <v>3.6578319921010598</v>
      </c>
      <c r="O31">
        <v>16.0862599763784</v>
      </c>
      <c r="P31">
        <v>4</v>
      </c>
      <c r="Q31">
        <v>2.90557307531642E-3</v>
      </c>
      <c r="R31" t="s">
        <v>154</v>
      </c>
    </row>
    <row r="32" spans="1:18" x14ac:dyDescent="0.3">
      <c r="A32" t="s">
        <v>83</v>
      </c>
      <c r="B32">
        <v>1.00233474903119</v>
      </c>
      <c r="C32">
        <v>0.42799559132501103</v>
      </c>
      <c r="D32">
        <v>2.3419277425921998</v>
      </c>
      <c r="E32">
        <v>1.9184428688782802E-2</v>
      </c>
      <c r="F32" t="s">
        <v>157</v>
      </c>
      <c r="G32">
        <v>2.72463574884299</v>
      </c>
      <c r="H32">
        <v>1.17758224315258</v>
      </c>
      <c r="I32">
        <v>6.3041371479913604</v>
      </c>
      <c r="J32" t="str">
        <f t="shared" si="0"/>
        <v>2.72 (1.18-6.3)</v>
      </c>
      <c r="K32" t="s">
        <v>153</v>
      </c>
      <c r="L32">
        <v>2.4299551155177102</v>
      </c>
      <c r="M32">
        <v>3.6578319921010598</v>
      </c>
      <c r="N32">
        <v>1.5717779299863901</v>
      </c>
      <c r="O32">
        <v>16.0862599763784</v>
      </c>
      <c r="P32">
        <v>4</v>
      </c>
      <c r="Q32">
        <v>2.90557307531642E-3</v>
      </c>
      <c r="R32" t="s">
        <v>154</v>
      </c>
    </row>
    <row r="33" spans="1:18" x14ac:dyDescent="0.3">
      <c r="A33" t="s">
        <v>84</v>
      </c>
      <c r="B33">
        <v>-1.0885253292142001</v>
      </c>
      <c r="C33">
        <v>0.45946600053003001</v>
      </c>
      <c r="D33">
        <v>-2.3691096358784001</v>
      </c>
      <c r="E33">
        <v>1.78309669231578E-2</v>
      </c>
      <c r="F33" t="s">
        <v>158</v>
      </c>
      <c r="G33">
        <v>0.33671266810473299</v>
      </c>
      <c r="H33">
        <v>0.13682142230550401</v>
      </c>
      <c r="I33">
        <v>0.82863793514041995</v>
      </c>
      <c r="J33" t="str">
        <f t="shared" si="0"/>
        <v>0.34 (0.14-0.83)</v>
      </c>
      <c r="K33" t="s">
        <v>159</v>
      </c>
      <c r="L33">
        <v>2.8994650277223801</v>
      </c>
      <c r="M33">
        <v>3.9870456741240301</v>
      </c>
      <c r="N33">
        <v>3.3917933283152899</v>
      </c>
      <c r="O33">
        <v>14.4559569939256</v>
      </c>
      <c r="P33">
        <v>4</v>
      </c>
      <c r="Q33">
        <v>5.9734051423716702E-3</v>
      </c>
      <c r="R33" t="s">
        <v>160</v>
      </c>
    </row>
    <row r="34" spans="1:18" x14ac:dyDescent="0.3">
      <c r="A34" t="s">
        <v>85</v>
      </c>
      <c r="B34">
        <v>0.491088138690215</v>
      </c>
      <c r="C34">
        <v>0.43831264721733398</v>
      </c>
      <c r="D34">
        <v>1.1204060430561</v>
      </c>
      <c r="E34">
        <v>0.26254077093360301</v>
      </c>
      <c r="F34" t="s">
        <v>161</v>
      </c>
      <c r="G34">
        <v>1.6340933731081799</v>
      </c>
      <c r="H34">
        <v>0.69211396345114995</v>
      </c>
      <c r="I34">
        <v>3.8581235071766198</v>
      </c>
      <c r="J34" t="str">
        <f t="shared" si="0"/>
        <v>1.63 (0.69-3.86)</v>
      </c>
      <c r="K34" t="s">
        <v>159</v>
      </c>
      <c r="L34">
        <v>2.8994650277223801</v>
      </c>
      <c r="M34">
        <v>3.9870456741240301</v>
      </c>
      <c r="N34">
        <v>2.4169230454142201</v>
      </c>
      <c r="O34">
        <v>14.4559569939256</v>
      </c>
      <c r="P34">
        <v>4</v>
      </c>
      <c r="Q34">
        <v>5.9734051423716702E-3</v>
      </c>
      <c r="R34" t="s">
        <v>160</v>
      </c>
    </row>
    <row r="35" spans="1:18" x14ac:dyDescent="0.3">
      <c r="A35" t="s">
        <v>86</v>
      </c>
      <c r="B35">
        <v>-0.813957228238951</v>
      </c>
      <c r="C35">
        <v>1.0985421491985501</v>
      </c>
      <c r="D35">
        <v>-0.74094310248612705</v>
      </c>
      <c r="E35">
        <v>0.458727939679347</v>
      </c>
      <c r="F35" t="s">
        <v>162</v>
      </c>
      <c r="G35">
        <v>0.44310113989293998</v>
      </c>
      <c r="H35">
        <v>5.1452314068986302E-2</v>
      </c>
      <c r="I35">
        <v>3.81593371896113</v>
      </c>
      <c r="J35" t="str">
        <f t="shared" si="0"/>
        <v>0.44 (0.05-3.82)</v>
      </c>
      <c r="K35" t="s">
        <v>159</v>
      </c>
      <c r="L35">
        <v>2.8994650277223801</v>
      </c>
      <c r="M35">
        <v>3.9870456741240301</v>
      </c>
      <c r="N35">
        <v>3.9870456741240301</v>
      </c>
      <c r="O35">
        <v>14.4559569939256</v>
      </c>
      <c r="P35">
        <v>4</v>
      </c>
      <c r="Q35">
        <v>5.9734051423716702E-3</v>
      </c>
      <c r="R35" t="s">
        <v>160</v>
      </c>
    </row>
    <row r="36" spans="1:18" x14ac:dyDescent="0.3">
      <c r="A36" t="s">
        <v>87</v>
      </c>
      <c r="B36">
        <v>-2.0685866733157101</v>
      </c>
      <c r="C36">
        <v>0.787112703808728</v>
      </c>
      <c r="D36">
        <v>-2.6280692247833199</v>
      </c>
      <c r="E36">
        <v>8.5871038995149699E-3</v>
      </c>
      <c r="F36" t="s">
        <v>163</v>
      </c>
      <c r="G36">
        <v>0.12636424952445899</v>
      </c>
      <c r="H36">
        <v>2.7015957398991E-2</v>
      </c>
      <c r="I36">
        <v>0.59105525382847102</v>
      </c>
      <c r="J36" t="str">
        <f t="shared" si="0"/>
        <v>0.13 (0.03-0.59)</v>
      </c>
      <c r="K36" t="s">
        <v>159</v>
      </c>
      <c r="L36">
        <v>2.8994650277223801</v>
      </c>
      <c r="M36">
        <v>3.9870456741240301</v>
      </c>
      <c r="N36">
        <v>1.802098063036</v>
      </c>
      <c r="O36">
        <v>14.4559569939256</v>
      </c>
      <c r="P36">
        <v>4</v>
      </c>
      <c r="Q36">
        <v>5.9734051423716702E-3</v>
      </c>
      <c r="R36" t="s">
        <v>160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164</v>
      </c>
    </row>
    <row r="2" spans="1:1" x14ac:dyDescent="0.3">
      <c r="A2" t="s">
        <v>165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2025-10-13T05:47:25Z</dcterms:created>
  <dcterms:modified xsi:type="dcterms:W3CDTF">2025-10-15T03:58:02Z</dcterms:modified>
</cp:coreProperties>
</file>