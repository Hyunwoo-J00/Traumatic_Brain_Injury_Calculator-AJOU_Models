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Death\CT\Original\"/>
    </mc:Choice>
  </mc:AlternateContent>
  <xr:revisionPtr revIDLastSave="0" documentId="13_ncr:1_{EA743286-2634-4E8A-8683-BB71A911DDB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</calcChain>
</file>

<file path=xl/sharedStrings.xml><?xml version="1.0" encoding="utf-8"?>
<sst xmlns="http://schemas.openxmlformats.org/spreadsheetml/2006/main" count="198" uniqueCount="118">
  <si>
    <t>Item</t>
  </si>
  <si>
    <t>Value</t>
  </si>
  <si>
    <t>Formula</t>
  </si>
  <si>
    <t>`14d_death` ~ Age + arr_status + InjuryHx.InjCause + arr_pp_size + arr_pp_prompt + head_neck_AIS + EDH + SAH + DAI</t>
  </si>
  <si>
    <t>N_total</t>
  </si>
  <si>
    <t>2889</t>
  </si>
  <si>
    <t>Pos_Level</t>
  </si>
  <si>
    <t>1</t>
  </si>
  <si>
    <t>Penalty</t>
  </si>
  <si>
    <t>elasticnet</t>
  </si>
  <si>
    <t>Alpha</t>
  </si>
  <si>
    <t>0.6</t>
  </si>
  <si>
    <t>Lambda_Chosen</t>
  </si>
  <si>
    <t>0.0114831660914895</t>
  </si>
  <si>
    <t>Use_CV</t>
  </si>
  <si>
    <t>TRUE</t>
  </si>
  <si>
    <t>Choose</t>
  </si>
  <si>
    <t>lambda.1se</t>
  </si>
  <si>
    <t>nfolds</t>
  </si>
  <si>
    <t>10</t>
  </si>
  <si>
    <t>Threshold</t>
  </si>
  <si>
    <t>0.5</t>
  </si>
  <si>
    <t>Standardize</t>
  </si>
  <si>
    <t>Train_Test</t>
  </si>
  <si>
    <t>FALSE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</si>
  <si>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</si>
  <si>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</si>
  <si>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</si>
  <si>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</si>
  <si>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</si>
  <si>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</si>
  <si>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</si>
  <si>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</si>
  <si>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</si>
  <si>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</si>
  <si>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</si>
  <si>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</si>
  <si>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</si>
  <si>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</si>
  <si>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</si>
  <si>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</si>
  <si>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</si>
  <si>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</si>
  <si>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</si>
  <si>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</si>
  <si>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</si>
  <si>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</si>
  <si>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</si>
  <si>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</si>
  <si>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</si>
  <si>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</si>
  <si>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</si>
  <si>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lambda.min</t>
  </si>
  <si>
    <t>(Intercept)</t>
  </si>
  <si>
    <t>Age</t>
  </si>
  <si>
    <t>arr_statusComa</t>
  </si>
  <si>
    <t>arr_statusDrowsy</t>
  </si>
  <si>
    <t>arr_statusSemicoma</t>
  </si>
  <si>
    <t>arr_statusStupor</t>
  </si>
  <si>
    <t>InjuryHx.InjCause1</t>
  </si>
  <si>
    <t>InjuryHx.InjCause3</t>
  </si>
  <si>
    <t>InjuryHx.InjCause88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</si>
  <si>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</si>
  <si>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</si>
  <si>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</si>
  <si>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</si>
  <si>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</si>
  <si>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</si>
  <si>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DAIpresent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</si>
  <si>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</si>
  <si>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</si>
  <si>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</si>
  <si>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</si>
  <si>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</si>
  <si>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</si>
  <si>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</si>
  <si>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</si>
  <si>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</si>
  <si>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</si>
  <si>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</si>
  <si>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</si>
  <si>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</si>
  <si>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</si>
  <si>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1.71e-07</t>
  </si>
  <si>
    <t>8.65e-08</t>
  </si>
  <si>
    <t>2.83e-10</t>
  </si>
  <si>
    <t>arr_status</t>
  </si>
  <si>
    <t>1.77e-15</t>
  </si>
  <si>
    <t>0.228</t>
  </si>
  <si>
    <t>9.96e-07</t>
  </si>
  <si>
    <t>0.00212</t>
  </si>
  <si>
    <t>0.0954</t>
  </si>
  <si>
    <t>InjuryHx.InjCause</t>
  </si>
  <si>
    <t>0.014</t>
  </si>
  <si>
    <t>0.457</t>
  </si>
  <si>
    <t>0.0284</t>
  </si>
  <si>
    <t>0.0069</t>
  </si>
  <si>
    <t>arr_pp_size</t>
  </si>
  <si>
    <t>0.00652</t>
  </si>
  <si>
    <t>7.78e-15</t>
  </si>
  <si>
    <t>arr_pp_prompt</t>
  </si>
  <si>
    <t>7.53e-15</t>
  </si>
  <si>
    <t>9.41e-05</t>
  </si>
  <si>
    <t>head_neck_AIS</t>
  </si>
  <si>
    <t>&lt; 1e-16</t>
  </si>
  <si>
    <t>2.88e-12</t>
  </si>
  <si>
    <t>1.71e-08</t>
  </si>
  <si>
    <t>EDH</t>
  </si>
  <si>
    <t>4.38e-09</t>
  </si>
  <si>
    <t>0.000277</t>
  </si>
  <si>
    <t>SAH</t>
  </si>
  <si>
    <t>0.000179</t>
  </si>
  <si>
    <t>0.00479</t>
  </si>
  <si>
    <t>DAI</t>
  </si>
  <si>
    <t>0.000229</t>
  </si>
  <si>
    <t>JSON</t>
  </si>
  <si>
    <t>{"formula":"`14d_death` ~ Age + arr_status + InjuryHx.InjCause + arr_pp_size + arr_pp_prompt + head_neck_AIS + EDH + SAH + DAI","penalty":"elasticnet","alpha":0.6,"lambda":0.0115,"x_names":["Age","arr_statusComa","arr_statusDrowsy","arr_statusSemicoma","arr_statusStupor","InjuryHx.InjCause1","InjuryHx.InjCause3","InjuryHx.InjCause88","arr_pp_sizebilaterally mydriatic","arr_pp_promptbilateral absence","head_neck_AIS4","head_neck_AIS5","EDHpresent","SAHpresent","DAIpresent"],"train_test":false,"test_prop":{},"split_seed":{},"standardize":true,"threshold":0.5,"family":"binomial","link":"logit"}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</si>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</sst>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15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</row>
    <row r="15" spans="1:2" x14ac:dyDescent="0.3">
      <c r="A15" t="s">
        <v>26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30</v>
      </c>
      <c r="B2">
        <v>2889</v>
      </c>
      <c r="C2">
        <v>373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31</v>
      </c>
      <c r="B1" t="s">
        <v>1</v>
      </c>
    </row>
    <row r="2" spans="1:2" x14ac:dyDescent="0.3">
      <c r="A2" t="s">
        <v>32</v>
      </c>
      <c r="B2">
        <v>0.9083</v>
      </c>
    </row>
    <row r="3" spans="1:2" x14ac:dyDescent="0.3">
      <c r="A3" t="s">
        <v>33</v>
      </c>
      <c r="B3">
        <v>0.90129999999999999</v>
      </c>
    </row>
    <row r="4" spans="1:2" x14ac:dyDescent="0.3">
      <c r="A4" t="s">
        <v>34</v>
      </c>
      <c r="B4">
        <v>0.43969999999999998</v>
      </c>
    </row>
    <row r="5" spans="1:2" x14ac:dyDescent="0.3">
      <c r="A5" t="s">
        <v>35</v>
      </c>
      <c r="B5">
        <v>0.68330000000000002</v>
      </c>
    </row>
    <row r="6" spans="1:2" x14ac:dyDescent="0.3">
      <c r="A6" t="s">
        <v>36</v>
      </c>
      <c r="B6">
        <v>0.53510000000000002</v>
      </c>
    </row>
    <row r="7" spans="1:2" x14ac:dyDescent="0.3">
      <c r="A7" t="s">
        <v>37</v>
      </c>
      <c r="B7">
        <v>0.3821</v>
      </c>
    </row>
    <row r="8" spans="1:2" x14ac:dyDescent="0.3">
      <c r="A8" t="s">
        <v>38</v>
      </c>
      <c r="B8">
        <v>1403.35</v>
      </c>
    </row>
    <row r="9" spans="1:2" x14ac:dyDescent="0.3">
      <c r="A9" t="s">
        <v>39</v>
      </c>
      <c r="B9">
        <v>7.0999999999999994E-2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3">
      <c r="A2" t="s">
        <v>47</v>
      </c>
      <c r="B2">
        <v>-1.33878614269483E-8</v>
      </c>
      <c r="C2">
        <v>6.6760284074521906E-2</v>
      </c>
      <c r="D2">
        <v>-2.0053631605287899E-7</v>
      </c>
      <c r="E2">
        <v>0.99999983999516995</v>
      </c>
      <c r="F2">
        <v>-0.130850170173924</v>
      </c>
      <c r="G2">
        <v>0.130850143398202</v>
      </c>
    </row>
    <row r="3" spans="1:7" x14ac:dyDescent="0.3">
      <c r="A3" t="s">
        <v>48</v>
      </c>
      <c r="B3">
        <v>1.1847152826338101</v>
      </c>
      <c r="C3">
        <v>5.1056940083960202E-2</v>
      </c>
      <c r="D3">
        <v>23.203805020152199</v>
      </c>
      <c r="E3">
        <v>4.1677902539748398E-119</v>
      </c>
      <c r="F3">
        <v>1.08464368006925</v>
      </c>
      <c r="G3">
        <v>1.2847868851983699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52</v>
      </c>
      <c r="B2" t="s">
        <v>53</v>
      </c>
      <c r="C2">
        <v>-6.8028717034844401</v>
      </c>
    </row>
    <row r="3" spans="1:3" x14ac:dyDescent="0.3">
      <c r="A3" t="s">
        <v>52</v>
      </c>
      <c r="B3" t="s">
        <v>54</v>
      </c>
      <c r="C3">
        <v>2.4024575726992899E-2</v>
      </c>
    </row>
    <row r="4" spans="1:3" x14ac:dyDescent="0.3">
      <c r="A4" t="s">
        <v>52</v>
      </c>
      <c r="B4" t="s">
        <v>55</v>
      </c>
      <c r="C4">
        <v>2.2609121410831801</v>
      </c>
    </row>
    <row r="5" spans="1:3" x14ac:dyDescent="0.3">
      <c r="A5" t="s">
        <v>52</v>
      </c>
      <c r="B5" t="s">
        <v>56</v>
      </c>
      <c r="C5">
        <v>0.26348614897693801</v>
      </c>
    </row>
    <row r="6" spans="1:3" x14ac:dyDescent="0.3">
      <c r="A6" t="s">
        <v>52</v>
      </c>
      <c r="B6" t="s">
        <v>57</v>
      </c>
      <c r="C6">
        <v>1.60588634908938</v>
      </c>
    </row>
    <row r="7" spans="1:3" x14ac:dyDescent="0.3">
      <c r="A7" t="s">
        <v>52</v>
      </c>
      <c r="B7" t="s">
        <v>58</v>
      </c>
      <c r="C7">
        <v>0.96015439318409401</v>
      </c>
    </row>
    <row r="8" spans="1:3" x14ac:dyDescent="0.3">
      <c r="A8" t="s">
        <v>52</v>
      </c>
      <c r="B8" t="s">
        <v>59</v>
      </c>
      <c r="C8">
        <v>0.249414161894841</v>
      </c>
    </row>
    <row r="9" spans="1:3" x14ac:dyDescent="0.3">
      <c r="A9" t="s">
        <v>52</v>
      </c>
      <c r="B9" t="s">
        <v>60</v>
      </c>
      <c r="C9">
        <v>0.23188221574560799</v>
      </c>
    </row>
    <row r="10" spans="1:3" x14ac:dyDescent="0.3">
      <c r="A10" t="s">
        <v>52</v>
      </c>
      <c r="B10" t="s">
        <v>61</v>
      </c>
      <c r="C10">
        <v>-0.63129399258571695</v>
      </c>
    </row>
    <row r="11" spans="1:3" x14ac:dyDescent="0.3">
      <c r="A11" t="s">
        <v>52</v>
      </c>
      <c r="B11" t="s">
        <v>62</v>
      </c>
      <c r="C11">
        <v>0.61986690675213096</v>
      </c>
    </row>
    <row r="12" spans="1:3" x14ac:dyDescent="0.3">
      <c r="A12" t="s">
        <v>52</v>
      </c>
      <c r="B12" t="s">
        <v>63</v>
      </c>
      <c r="C12">
        <v>1.35610646226707</v>
      </c>
    </row>
    <row r="13" spans="1:3" x14ac:dyDescent="0.3">
      <c r="A13" t="s">
        <v>52</v>
      </c>
      <c r="B13" t="s">
        <v>64</v>
      </c>
      <c r="C13">
        <v>1.19651565873568</v>
      </c>
    </row>
    <row r="14" spans="1:3" x14ac:dyDescent="0.3">
      <c r="A14" t="s">
        <v>52</v>
      </c>
      <c r="B14" t="s">
        <v>65</v>
      </c>
      <c r="C14">
        <v>2.1080752339489801</v>
      </c>
    </row>
    <row r="15" spans="1:3" x14ac:dyDescent="0.3">
      <c r="A15" t="s">
        <v>52</v>
      </c>
      <c r="B15" t="s">
        <v>66</v>
      </c>
      <c r="C15">
        <v>-0.99483924200047802</v>
      </c>
    </row>
    <row r="16" spans="1:3" x14ac:dyDescent="0.3">
      <c r="A16" t="s">
        <v>52</v>
      </c>
      <c r="B16" t="s">
        <v>67</v>
      </c>
      <c r="C16">
        <v>0.69436951290245497</v>
      </c>
    </row>
    <row r="17" spans="1:3" x14ac:dyDescent="0.3">
      <c r="A17" t="s">
        <v>52</v>
      </c>
      <c r="B17" t="s">
        <v>68</v>
      </c>
      <c r="C17">
        <v>-2.0513207894455401</v>
      </c>
    </row>
    <row r="18" spans="1:3" x14ac:dyDescent="0.3">
      <c r="A18" t="s">
        <v>17</v>
      </c>
      <c r="B18" t="s">
        <v>53</v>
      </c>
      <c r="C18">
        <v>-4.7627901766636098</v>
      </c>
    </row>
    <row r="19" spans="1:3" x14ac:dyDescent="0.3">
      <c r="A19" t="s">
        <v>17</v>
      </c>
      <c r="B19" t="s">
        <v>54</v>
      </c>
      <c r="C19">
        <v>1.5253458333137E-2</v>
      </c>
    </row>
    <row r="20" spans="1:3" x14ac:dyDescent="0.3">
      <c r="A20" t="s">
        <v>17</v>
      </c>
      <c r="B20" t="s">
        <v>55</v>
      </c>
      <c r="C20">
        <v>1.5693582736393501</v>
      </c>
    </row>
    <row r="21" spans="1:3" x14ac:dyDescent="0.3">
      <c r="A21" t="s">
        <v>17</v>
      </c>
      <c r="B21" t="s">
        <v>56</v>
      </c>
      <c r="C21">
        <v>-2.61848768443168E-2</v>
      </c>
    </row>
    <row r="22" spans="1:3" x14ac:dyDescent="0.3">
      <c r="A22" t="s">
        <v>17</v>
      </c>
      <c r="B22" t="s">
        <v>57</v>
      </c>
      <c r="C22">
        <v>0.91482401683012504</v>
      </c>
    </row>
    <row r="23" spans="1:3" x14ac:dyDescent="0.3">
      <c r="A23" t="s">
        <v>17</v>
      </c>
      <c r="B23" t="s">
        <v>58</v>
      </c>
      <c r="C23">
        <v>0.17900185220156101</v>
      </c>
    </row>
    <row r="24" spans="1:3" x14ac:dyDescent="0.3">
      <c r="A24" t="s">
        <v>17</v>
      </c>
      <c r="B24" t="s">
        <v>59</v>
      </c>
      <c r="C24">
        <v>7.5467453236277598E-2</v>
      </c>
    </row>
    <row r="25" spans="1:3" x14ac:dyDescent="0.3">
      <c r="A25" t="s">
        <v>17</v>
      </c>
      <c r="B25" t="s">
        <v>60</v>
      </c>
      <c r="C25">
        <v>0</v>
      </c>
    </row>
    <row r="26" spans="1:3" x14ac:dyDescent="0.3">
      <c r="A26" t="s">
        <v>17</v>
      </c>
      <c r="B26" t="s">
        <v>61</v>
      </c>
      <c r="C26">
        <v>-0.228342648751898</v>
      </c>
    </row>
    <row r="27" spans="1:3" x14ac:dyDescent="0.3">
      <c r="A27" t="s">
        <v>17</v>
      </c>
      <c r="B27" t="s">
        <v>62</v>
      </c>
      <c r="C27">
        <v>0.52666418580572005</v>
      </c>
    </row>
    <row r="28" spans="1:3" x14ac:dyDescent="0.3">
      <c r="A28" t="s">
        <v>17</v>
      </c>
      <c r="B28" t="s">
        <v>63</v>
      </c>
      <c r="C28">
        <v>1.3943369404630099</v>
      </c>
    </row>
    <row r="29" spans="1:3" x14ac:dyDescent="0.3">
      <c r="A29" t="s">
        <v>17</v>
      </c>
      <c r="B29" t="s">
        <v>64</v>
      </c>
      <c r="C29">
        <v>0.22815087192789399</v>
      </c>
    </row>
    <row r="30" spans="1:3" x14ac:dyDescent="0.3">
      <c r="A30" t="s">
        <v>17</v>
      </c>
      <c r="B30" t="s">
        <v>65</v>
      </c>
      <c r="C30">
        <v>1.21611674045551</v>
      </c>
    </row>
    <row r="31" spans="1:3" x14ac:dyDescent="0.3">
      <c r="A31" t="s">
        <v>17</v>
      </c>
      <c r="B31" t="s">
        <v>66</v>
      </c>
      <c r="C31">
        <v>-0.65666375900658402</v>
      </c>
    </row>
    <row r="32" spans="1:3" x14ac:dyDescent="0.3">
      <c r="A32" t="s">
        <v>17</v>
      </c>
      <c r="B32" t="s">
        <v>67</v>
      </c>
      <c r="C32">
        <v>0.51123855327046597</v>
      </c>
    </row>
    <row r="33" spans="1:3" x14ac:dyDescent="0.3">
      <c r="A33" t="s">
        <v>17</v>
      </c>
      <c r="B33" t="s">
        <v>68</v>
      </c>
      <c r="C33">
        <v>-0.78766133158533103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"/>
  <sheetViews>
    <sheetView tabSelected="1" workbookViewId="0">
      <pane ySplit="1" topLeftCell="A2" activePane="bottomLeft" state="frozen"/>
      <selection pane="bottomLeft" activeCell="R11" sqref="R11"/>
    </sheetView>
  </sheetViews>
  <sheetFormatPr defaultColWidth="11.5546875" defaultRowHeight="14.4" x14ac:dyDescent="0.3"/>
  <sheetData>
    <row r="1" spans="1:18" x14ac:dyDescent="0.3">
      <c r="A1" t="s">
        <v>69</v>
      </c>
      <c r="B1" t="s">
        <v>70</v>
      </c>
      <c r="C1" t="s">
        <v>71</v>
      </c>
      <c r="D1" t="s">
        <v>72</v>
      </c>
      <c r="E1" t="s">
        <v>44</v>
      </c>
      <c r="F1" t="s">
        <v>73</v>
      </c>
      <c r="G1" t="s">
        <v>74</v>
      </c>
      <c r="H1" t="s">
        <v>45</v>
      </c>
      <c r="I1" t="s">
        <v>46</v>
      </c>
      <c r="J1" t="s">
        <v>117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3">
      <c r="A2" t="s">
        <v>54</v>
      </c>
      <c r="B2">
        <v>2.4777341907293401E-2</v>
      </c>
      <c r="C2">
        <v>4.7391822847708499E-3</v>
      </c>
      <c r="D2">
        <v>5.2281892568079398</v>
      </c>
      <c r="E2">
        <v>1.7117823913209499E-7</v>
      </c>
      <c r="F2" t="s">
        <v>83</v>
      </c>
      <c r="G2">
        <v>1.0250868512292199</v>
      </c>
      <c r="H2">
        <v>1.01560911381263</v>
      </c>
      <c r="I2">
        <v>1.0346530355741701</v>
      </c>
      <c r="J2" t="str">
        <f>_xlfn.CONCAT(ROUND(G2,2), " (", ROUND(H2,2),"-",ROUND(I2,2),")")</f>
        <v>1.03 (1.02-1.03)</v>
      </c>
      <c r="K2" t="s">
        <v>54</v>
      </c>
      <c r="L2">
        <v>1.20372929643124</v>
      </c>
      <c r="M2">
        <v>1.20372929643124</v>
      </c>
      <c r="N2">
        <v>1.20372929643124</v>
      </c>
      <c r="O2">
        <v>28.654818704062802</v>
      </c>
      <c r="P2">
        <v>1</v>
      </c>
      <c r="Q2">
        <v>8.6498481636644504E-8</v>
      </c>
      <c r="R2" t="s">
        <v>84</v>
      </c>
    </row>
    <row r="3" spans="1:18" x14ac:dyDescent="0.3">
      <c r="A3" t="s">
        <v>55</v>
      </c>
      <c r="B3">
        <v>2.45164055830528</v>
      </c>
      <c r="C3">
        <v>0.38867297477099799</v>
      </c>
      <c r="D3">
        <v>6.3077206737869096</v>
      </c>
      <c r="E3">
        <v>2.8317467162443402E-10</v>
      </c>
      <c r="F3" t="s">
        <v>85</v>
      </c>
      <c r="G3">
        <v>11.6073736808306</v>
      </c>
      <c r="H3">
        <v>5.4186219358997301</v>
      </c>
      <c r="I3">
        <v>24.8644628394925</v>
      </c>
      <c r="J3" t="str">
        <f t="shared" ref="J3:J16" si="0">_xlfn.CONCAT(ROUND(G3,2), " (", ROUND(H3,2),"-",ROUND(I3,2),")")</f>
        <v>11.61 (5.42-24.86)</v>
      </c>
      <c r="K3" t="s">
        <v>86</v>
      </c>
      <c r="L3">
        <v>1.8172684342488801</v>
      </c>
      <c r="M3">
        <v>2.1042522492160698</v>
      </c>
      <c r="N3">
        <v>1.9900189938920401</v>
      </c>
      <c r="O3">
        <v>75.238703982233304</v>
      </c>
      <c r="P3">
        <v>4</v>
      </c>
      <c r="Q3">
        <v>1.77389536842372E-15</v>
      </c>
      <c r="R3" t="s">
        <v>87</v>
      </c>
    </row>
    <row r="4" spans="1:18" x14ac:dyDescent="0.3">
      <c r="A4" t="s">
        <v>56</v>
      </c>
      <c r="B4">
        <v>0.46798199303778998</v>
      </c>
      <c r="C4">
        <v>0.38826883686175101</v>
      </c>
      <c r="D4">
        <v>1.2053040280552401</v>
      </c>
      <c r="E4">
        <v>0.22808595517937899</v>
      </c>
      <c r="F4" t="s">
        <v>88</v>
      </c>
      <c r="G4">
        <v>1.5967686494754401</v>
      </c>
      <c r="H4">
        <v>0.74600354467750296</v>
      </c>
      <c r="I4">
        <v>3.41777212472878</v>
      </c>
      <c r="J4" t="str">
        <f t="shared" si="0"/>
        <v>1.6 (0.75-3.42)</v>
      </c>
      <c r="K4" t="s">
        <v>86</v>
      </c>
      <c r="L4">
        <v>1.8172684342488801</v>
      </c>
      <c r="M4">
        <v>2.1042522492160698</v>
      </c>
      <c r="N4">
        <v>1.5484226022021399</v>
      </c>
      <c r="O4">
        <v>75.238703982233304</v>
      </c>
      <c r="P4">
        <v>4</v>
      </c>
      <c r="Q4">
        <v>1.77389536842372E-15</v>
      </c>
      <c r="R4" t="s">
        <v>87</v>
      </c>
    </row>
    <row r="5" spans="1:18" x14ac:dyDescent="0.3">
      <c r="A5" t="s">
        <v>57</v>
      </c>
      <c r="B5">
        <v>1.79358816542292</v>
      </c>
      <c r="C5">
        <v>0.36660835954534998</v>
      </c>
      <c r="D5">
        <v>4.8923820712851303</v>
      </c>
      <c r="E5">
        <v>9.9622809749559098E-7</v>
      </c>
      <c r="F5" t="s">
        <v>89</v>
      </c>
      <c r="G5">
        <v>6.0109822156767301</v>
      </c>
      <c r="H5">
        <v>2.9300977396474002</v>
      </c>
      <c r="I5">
        <v>12.331297590615501</v>
      </c>
      <c r="J5" t="str">
        <f t="shared" si="0"/>
        <v>6.01 (2.93-12.33)</v>
      </c>
      <c r="K5" t="s">
        <v>86</v>
      </c>
      <c r="L5">
        <v>1.8172684342488801</v>
      </c>
      <c r="M5">
        <v>2.1042522492160698</v>
      </c>
      <c r="N5">
        <v>2.1042522492160698</v>
      </c>
      <c r="O5">
        <v>75.238703982233304</v>
      </c>
      <c r="P5">
        <v>4</v>
      </c>
      <c r="Q5">
        <v>1.77389536842372E-15</v>
      </c>
      <c r="R5" t="s">
        <v>87</v>
      </c>
    </row>
    <row r="6" spans="1:18" x14ac:dyDescent="0.3">
      <c r="A6" t="s">
        <v>58</v>
      </c>
      <c r="B6">
        <v>1.15178674728505</v>
      </c>
      <c r="C6">
        <v>0.37474522587046499</v>
      </c>
      <c r="D6">
        <v>3.0735194680857099</v>
      </c>
      <c r="E6">
        <v>2.1154988420442802E-3</v>
      </c>
      <c r="F6" t="s">
        <v>90</v>
      </c>
      <c r="G6">
        <v>3.1638408465121399</v>
      </c>
      <c r="H6">
        <v>1.51783671085217</v>
      </c>
      <c r="I6">
        <v>6.5948391091678902</v>
      </c>
      <c r="J6" t="str">
        <f t="shared" si="0"/>
        <v>3.16 (1.52-6.59)</v>
      </c>
      <c r="K6" t="s">
        <v>86</v>
      </c>
      <c r="L6">
        <v>1.8172684342488801</v>
      </c>
      <c r="M6">
        <v>2.1042522492160698</v>
      </c>
      <c r="N6">
        <v>1.6263798916852901</v>
      </c>
      <c r="O6">
        <v>75.238703982233304</v>
      </c>
      <c r="P6">
        <v>4</v>
      </c>
      <c r="Q6">
        <v>1.77389536842372E-15</v>
      </c>
      <c r="R6" t="s">
        <v>87</v>
      </c>
    </row>
    <row r="7" spans="1:18" x14ac:dyDescent="0.3">
      <c r="A7" t="s">
        <v>59</v>
      </c>
      <c r="B7">
        <v>0.26152745062884603</v>
      </c>
      <c r="C7">
        <v>0.156834562579246</v>
      </c>
      <c r="D7">
        <v>1.66753709340504</v>
      </c>
      <c r="E7">
        <v>9.5407654997376606E-2</v>
      </c>
      <c r="F7" t="s">
        <v>91</v>
      </c>
      <c r="G7">
        <v>1.2989125970501301</v>
      </c>
      <c r="H7">
        <v>0.95516775711610102</v>
      </c>
      <c r="I7">
        <v>1.7663639943935501</v>
      </c>
      <c r="J7" t="str">
        <f t="shared" si="0"/>
        <v>1.3 (0.96-1.77)</v>
      </c>
      <c r="K7" t="s">
        <v>92</v>
      </c>
      <c r="L7">
        <v>1.1437421759030799</v>
      </c>
      <c r="M7">
        <v>1.22905667138658</v>
      </c>
      <c r="N7">
        <v>1.22905667138658</v>
      </c>
      <c r="O7">
        <v>10.6123806117828</v>
      </c>
      <c r="P7">
        <v>3</v>
      </c>
      <c r="Q7">
        <v>1.4017615754462901E-2</v>
      </c>
      <c r="R7" t="s">
        <v>93</v>
      </c>
    </row>
    <row r="8" spans="1:18" x14ac:dyDescent="0.3">
      <c r="A8" t="s">
        <v>60</v>
      </c>
      <c r="B8">
        <v>0.28845147500953899</v>
      </c>
      <c r="C8">
        <v>0.38764180803743198</v>
      </c>
      <c r="D8">
        <v>0.74411858842038303</v>
      </c>
      <c r="E8">
        <v>0.45680473460966298</v>
      </c>
      <c r="F8" t="s">
        <v>94</v>
      </c>
      <c r="G8">
        <v>1.33435959816511</v>
      </c>
      <c r="H8">
        <v>0.62417377191774803</v>
      </c>
      <c r="I8">
        <v>2.8525958912768701</v>
      </c>
      <c r="J8" t="str">
        <f t="shared" si="0"/>
        <v>1.33 (0.62-2.85)</v>
      </c>
      <c r="K8" t="s">
        <v>92</v>
      </c>
      <c r="L8">
        <v>1.1437421759030799</v>
      </c>
      <c r="M8">
        <v>1.22905667138658</v>
      </c>
      <c r="N8">
        <v>1.12529027117629</v>
      </c>
      <c r="O8">
        <v>10.6123806117828</v>
      </c>
      <c r="P8">
        <v>3</v>
      </c>
      <c r="Q8">
        <v>1.4017615754462901E-2</v>
      </c>
      <c r="R8" t="s">
        <v>93</v>
      </c>
    </row>
    <row r="9" spans="1:18" x14ac:dyDescent="0.3">
      <c r="A9" t="s">
        <v>61</v>
      </c>
      <c r="B9">
        <v>-0.65856632272100202</v>
      </c>
      <c r="C9">
        <v>0.30051207628682602</v>
      </c>
      <c r="D9">
        <v>-2.1914803919308299</v>
      </c>
      <c r="E9">
        <v>2.8417047155736699E-2</v>
      </c>
      <c r="F9" t="s">
        <v>95</v>
      </c>
      <c r="G9">
        <v>0.51759286393652404</v>
      </c>
      <c r="H9">
        <v>0.28720185232100898</v>
      </c>
      <c r="I9">
        <v>0.932801688544042</v>
      </c>
      <c r="J9" t="str">
        <f t="shared" si="0"/>
        <v>0.52 (0.29-0.93)</v>
      </c>
      <c r="K9" t="s">
        <v>92</v>
      </c>
      <c r="L9">
        <v>1.1437421759030799</v>
      </c>
      <c r="M9">
        <v>1.22905667138658</v>
      </c>
      <c r="N9">
        <v>1.0768795851463699</v>
      </c>
      <c r="O9">
        <v>10.6123806117828</v>
      </c>
      <c r="P9">
        <v>3</v>
      </c>
      <c r="Q9">
        <v>1.4017615754462901E-2</v>
      </c>
      <c r="R9" t="s">
        <v>93</v>
      </c>
    </row>
    <row r="10" spans="1:18" x14ac:dyDescent="0.3">
      <c r="A10" t="s">
        <v>62</v>
      </c>
      <c r="B10">
        <v>0.62567261858758705</v>
      </c>
      <c r="C10">
        <v>0.23160541431637299</v>
      </c>
      <c r="D10">
        <v>2.7014593783758398</v>
      </c>
      <c r="E10">
        <v>6.9035912891213099E-3</v>
      </c>
      <c r="F10" t="s">
        <v>96</v>
      </c>
      <c r="G10">
        <v>1.8695029970961099</v>
      </c>
      <c r="H10">
        <v>1.1873524618170199</v>
      </c>
      <c r="I10">
        <v>2.9435585207805999</v>
      </c>
      <c r="J10" t="str">
        <f t="shared" si="0"/>
        <v>1.87 (1.19-2.94)</v>
      </c>
      <c r="K10" t="s">
        <v>97</v>
      </c>
      <c r="L10">
        <v>1.42085273224861</v>
      </c>
      <c r="M10">
        <v>1.42085273224861</v>
      </c>
      <c r="N10">
        <v>1.42085273224861</v>
      </c>
      <c r="O10">
        <v>7.4020013696881497</v>
      </c>
      <c r="P10">
        <v>1</v>
      </c>
      <c r="Q10">
        <v>6.5151352470626403E-3</v>
      </c>
      <c r="R10" t="s">
        <v>98</v>
      </c>
    </row>
    <row r="11" spans="1:18" x14ac:dyDescent="0.3">
      <c r="A11" t="s">
        <v>63</v>
      </c>
      <c r="B11">
        <v>1.35464883860639</v>
      </c>
      <c r="C11">
        <v>0.174318537359269</v>
      </c>
      <c r="D11">
        <v>7.7711117769102698</v>
      </c>
      <c r="E11">
        <v>7.7800204718735104E-15</v>
      </c>
      <c r="F11" t="s">
        <v>99</v>
      </c>
      <c r="G11">
        <v>3.8753998268550398</v>
      </c>
      <c r="H11">
        <v>2.7538075161055402</v>
      </c>
      <c r="I11">
        <v>5.4538030454749302</v>
      </c>
      <c r="J11" t="str">
        <f t="shared" si="0"/>
        <v>3.88 (2.75-5.45)</v>
      </c>
      <c r="K11" t="s">
        <v>100</v>
      </c>
      <c r="L11">
        <v>1.89048173326318</v>
      </c>
      <c r="M11">
        <v>1.89048173326318</v>
      </c>
      <c r="N11">
        <v>1.89048173326318</v>
      </c>
      <c r="O11">
        <v>60.455525095669401</v>
      </c>
      <c r="P11">
        <v>1</v>
      </c>
      <c r="Q11">
        <v>7.5259825609429897E-15</v>
      </c>
      <c r="R11" t="s">
        <v>101</v>
      </c>
    </row>
    <row r="12" spans="1:18" x14ac:dyDescent="0.3">
      <c r="A12" t="s">
        <v>64</v>
      </c>
      <c r="B12">
        <v>1.29659537851962</v>
      </c>
      <c r="C12">
        <v>0.33199955657015401</v>
      </c>
      <c r="D12">
        <v>3.90541298282018</v>
      </c>
      <c r="E12">
        <v>9.4064602820343203E-5</v>
      </c>
      <c r="F12" t="s">
        <v>102</v>
      </c>
      <c r="G12">
        <v>3.65682534348253</v>
      </c>
      <c r="H12">
        <v>1.90765787784389</v>
      </c>
      <c r="I12">
        <v>7.00983742842305</v>
      </c>
      <c r="J12" t="str">
        <f t="shared" si="0"/>
        <v>3.66 (1.91-7.01)</v>
      </c>
      <c r="K12" t="s">
        <v>103</v>
      </c>
      <c r="L12">
        <v>1.6244545102161201</v>
      </c>
      <c r="M12">
        <v>1.8667977397970299</v>
      </c>
      <c r="N12">
        <v>1.38211128063522</v>
      </c>
      <c r="O12">
        <v>78.745021765719898</v>
      </c>
      <c r="P12">
        <v>2</v>
      </c>
      <c r="Q12">
        <v>7.9567513208803898E-18</v>
      </c>
      <c r="R12" t="s">
        <v>104</v>
      </c>
    </row>
    <row r="13" spans="1:18" x14ac:dyDescent="0.3">
      <c r="A13" t="s">
        <v>65</v>
      </c>
      <c r="B13">
        <v>2.2002633912568998</v>
      </c>
      <c r="C13">
        <v>0.31505843823754798</v>
      </c>
      <c r="D13">
        <v>6.9836675493133402</v>
      </c>
      <c r="E13">
        <v>2.8757211398221602E-12</v>
      </c>
      <c r="F13" t="s">
        <v>105</v>
      </c>
      <c r="G13">
        <v>9.0273909221657505</v>
      </c>
      <c r="H13">
        <v>4.86831972704086</v>
      </c>
      <c r="I13">
        <v>16.739612726942902</v>
      </c>
      <c r="J13" t="str">
        <f t="shared" si="0"/>
        <v>9.03 (4.87-16.74)</v>
      </c>
      <c r="K13" t="s">
        <v>103</v>
      </c>
      <c r="L13">
        <v>1.6244545102161201</v>
      </c>
      <c r="M13">
        <v>1.8667977397970299</v>
      </c>
      <c r="N13">
        <v>1.8667977397970299</v>
      </c>
      <c r="O13">
        <v>78.745021765719898</v>
      </c>
      <c r="P13">
        <v>2</v>
      </c>
      <c r="Q13">
        <v>7.9567513208803898E-18</v>
      </c>
      <c r="R13" t="s">
        <v>104</v>
      </c>
    </row>
    <row r="14" spans="1:18" x14ac:dyDescent="0.3">
      <c r="A14" t="s">
        <v>66</v>
      </c>
      <c r="B14">
        <v>-1.01884095852134</v>
      </c>
      <c r="C14">
        <v>0.1806616205819</v>
      </c>
      <c r="D14">
        <v>-5.6394986120445001</v>
      </c>
      <c r="E14">
        <v>1.7054602680788899E-8</v>
      </c>
      <c r="F14" t="s">
        <v>106</v>
      </c>
      <c r="G14">
        <v>0.36101312696684001</v>
      </c>
      <c r="H14">
        <v>0.25336155611400202</v>
      </c>
      <c r="I14">
        <v>0.51440510486812996</v>
      </c>
      <c r="J14" t="str">
        <f t="shared" si="0"/>
        <v>0.36 (0.25-0.51)</v>
      </c>
      <c r="K14" t="s">
        <v>107</v>
      </c>
      <c r="L14">
        <v>1.1333799658642001</v>
      </c>
      <c r="M14">
        <v>1.1333799658642001</v>
      </c>
      <c r="N14">
        <v>1.1333799658642001</v>
      </c>
      <c r="O14">
        <v>34.446622007456703</v>
      </c>
      <c r="P14">
        <v>1</v>
      </c>
      <c r="Q14">
        <v>4.3810246177995198E-9</v>
      </c>
      <c r="R14" t="s">
        <v>108</v>
      </c>
    </row>
    <row r="15" spans="1:18" x14ac:dyDescent="0.3">
      <c r="A15" t="s">
        <v>67</v>
      </c>
      <c r="B15">
        <v>0.70131703095238496</v>
      </c>
      <c r="C15">
        <v>0.192904277350439</v>
      </c>
      <c r="D15">
        <v>3.6355701417565802</v>
      </c>
      <c r="E15">
        <v>2.7736650956504698E-4</v>
      </c>
      <c r="F15" t="s">
        <v>109</v>
      </c>
      <c r="G15">
        <v>2.0164066293817</v>
      </c>
      <c r="H15">
        <v>1.38157568335655</v>
      </c>
      <c r="I15">
        <v>2.94294097963299</v>
      </c>
      <c r="J15" t="str">
        <f t="shared" si="0"/>
        <v>2.02 (1.38-2.94)</v>
      </c>
      <c r="K15" t="s">
        <v>110</v>
      </c>
      <c r="L15">
        <v>1.12188563323332</v>
      </c>
      <c r="M15">
        <v>1.12188563323332</v>
      </c>
      <c r="N15">
        <v>1.12188563323332</v>
      </c>
      <c r="O15">
        <v>14.0429523713069</v>
      </c>
      <c r="P15">
        <v>1</v>
      </c>
      <c r="Q15">
        <v>1.78682200960192E-4</v>
      </c>
      <c r="R15" t="s">
        <v>111</v>
      </c>
    </row>
    <row r="16" spans="1:18" x14ac:dyDescent="0.3">
      <c r="A16" t="s">
        <v>68</v>
      </c>
      <c r="B16">
        <v>-2.1761573647541699</v>
      </c>
      <c r="C16">
        <v>0.77140920846721095</v>
      </c>
      <c r="D16">
        <v>-2.8210155399599</v>
      </c>
      <c r="E16">
        <v>4.7871883807314502E-3</v>
      </c>
      <c r="F16" t="s">
        <v>112</v>
      </c>
      <c r="G16">
        <v>0.113476743657247</v>
      </c>
      <c r="H16">
        <v>2.5019008241705099E-2</v>
      </c>
      <c r="I16">
        <v>0.51468752184938305</v>
      </c>
      <c r="J16" t="str">
        <f t="shared" si="0"/>
        <v>0.11 (0.03-0.51)</v>
      </c>
      <c r="K16" t="s">
        <v>113</v>
      </c>
      <c r="L16">
        <v>1.08100781913843</v>
      </c>
      <c r="M16">
        <v>1.08100781913843</v>
      </c>
      <c r="N16">
        <v>1.08100781913843</v>
      </c>
      <c r="O16">
        <v>13.5789331263368</v>
      </c>
      <c r="P16">
        <v>1</v>
      </c>
      <c r="Q16">
        <v>2.2873820435418001E-4</v>
      </c>
      <c r="R16" t="s">
        <v>114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115</v>
      </c>
    </row>
    <row r="2" spans="1:1" x14ac:dyDescent="0.3">
      <c r="A2" t="s">
        <v>116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2025-10-13T05:45:07Z</dcterms:created>
  <dcterms:modified xsi:type="dcterms:W3CDTF">2025-10-15T02:07:01Z</dcterms:modified>
</cp:coreProperties>
</file>