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Death\CT\Alternative\"/>
    </mc:Choice>
  </mc:AlternateContent>
  <xr:revisionPtr revIDLastSave="0" documentId="13_ncr:1_{98779A9F-B1C3-488D-A416-85881479EE1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  <c r="J11" i="6"/>
  <c r="J12" i="6"/>
  <c r="J13" i="6"/>
</calcChain>
</file>

<file path=xl/sharedStrings.xml><?xml version="1.0" encoding="utf-8"?>
<sst xmlns="http://schemas.openxmlformats.org/spreadsheetml/2006/main" count="146" uniqueCount="107">
  <si>
    <t>Item</t>
  </si>
  <si>
    <t>Value</t>
  </si>
  <si>
    <t>Formula</t>
  </si>
  <si>
    <t>`14d_death` ~ Age + InjuryHx.InjCause + arr_GCS_derived + arr_pp_size + arr_pp_prompt + head_neck_AIS + EDH + SAH + DAI</t>
  </si>
  <si>
    <t>N_total</t>
  </si>
  <si>
    <t>2889</t>
  </si>
  <si>
    <t>Pos_Level</t>
  </si>
  <si>
    <t>1</t>
  </si>
  <si>
    <t>Penalty</t>
  </si>
  <si>
    <t>elasticnet</t>
  </si>
  <si>
    <t>Alpha</t>
  </si>
  <si>
    <t>0.6</t>
  </si>
  <si>
    <t>Lambda_Chosen</t>
  </si>
  <si>
    <t>0.02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</si>
  <si>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</si>
  <si>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</si>
  <si>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</si>
  <si>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</si>
  <si>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</si>
  <si>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</si>
  <si>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</si>
  <si>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</si>
  <si>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</si>
  <si>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</si>
  <si>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</si>
  <si>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</si>
  <si>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</si>
  <si>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</si>
  <si>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</si>
  <si>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</si>
  <si>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</si>
  <si>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</si>
  <si>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</si>
  <si>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</si>
  <si>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</si>
  <si>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</si>
  <si>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</si>
  <si>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</si>
  <si>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</si>
  <si>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</si>
  <si>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</si>
  <si>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</si>
  <si>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</si>
  <si>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</si>
  <si>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</si>
  <si>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</si>
  <si>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</si>
  <si>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</si>
  <si>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</si>
  <si>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</si>
  <si>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lambda=0.02</t>
  </si>
  <si>
    <t>(Intercept)</t>
  </si>
  <si>
    <t>Age</t>
  </si>
  <si>
    <t>InjuryHx.InjCause1</t>
  </si>
  <si>
    <t>InjuryHx.InjCause3</t>
  </si>
  <si>
    <t>InjuryHx.InjCause88</t>
  </si>
  <si>
    <t>arr_GCS_derived</t>
  </si>
  <si>
    <t>arr_pp_sizebilaterally mydriatic</t>
  </si>
  <si>
    <t>arr_pp_promptbilateral absence</t>
  </si>
  <si>
    <t>head_neck_AIS4</t>
  </si>
  <si>
    <t>head_neck_AIS5</t>
  </si>
  <si>
    <t>EDHpresent</t>
  </si>
  <si>
    <t>SAHpresent</t>
  </si>
  <si>
    <t>DAIpresent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</si>
  <si>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</si>
  <si>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</si>
  <si>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</si>
  <si>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</si>
  <si>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</si>
  <si>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</si>
  <si>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</si>
  <si>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</si>
  <si>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</si>
  <si>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</si>
  <si>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</si>
  <si>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</si>
  <si>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</si>
  <si>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</si>
  <si>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3.34e-07</t>
  </si>
  <si>
    <t>1.79e-07</t>
  </si>
  <si>
    <t>0.0483</t>
  </si>
  <si>
    <t>InjuryHx.InjCause</t>
  </si>
  <si>
    <t>0.00566</t>
  </si>
  <si>
    <t>0.499</t>
  </si>
  <si>
    <t>0.0237</t>
  </si>
  <si>
    <t>8.03e-11</t>
  </si>
  <si>
    <t>3.2e-11</t>
  </si>
  <si>
    <t>0.00214</t>
  </si>
  <si>
    <t>arr_pp_size</t>
  </si>
  <si>
    <t>0.00192</t>
  </si>
  <si>
    <t>&lt; 1e-16</t>
  </si>
  <si>
    <t>arr_pp_prompt</t>
  </si>
  <si>
    <t>1.87e-05</t>
  </si>
  <si>
    <t>head_neck_AIS</t>
  </si>
  <si>
    <t>5.05e-14</t>
  </si>
  <si>
    <t>1.56e-08</t>
  </si>
  <si>
    <t>EDH</t>
  </si>
  <si>
    <t>3.95e-09</t>
  </si>
  <si>
    <t>4.6e-05</t>
  </si>
  <si>
    <t>SAH</t>
  </si>
  <si>
    <t>2.43e-05</t>
  </si>
  <si>
    <t>0.00474</t>
  </si>
  <si>
    <t>DAI</t>
  </si>
  <si>
    <t>0.000234</t>
  </si>
  <si>
    <t>JSON</t>
  </si>
  <si>
    <t>{"formula":"`14d_death` ~ Age + InjuryHx.InjCause + arr_GCS_derived + arr_pp_size + arr_pp_prompt + head_neck_AIS + EDH + SAH + DAI","penalty":"elasticnet","alpha":0.6,"lambda":0.02,"x_names":["Age","InjuryHx.InjCause1","InjuryHx.InjCause3","InjuryHx.InjCause88","arr_GCS_derived","arr_pp_sizebilaterally mydriatic","arr_pp_promptbilateral absence","head_neck_AIS4","head_neck_AIS5","EDHpresent","SAHpresent","DAIpresent"],"train_test":false,"test_prop":{},"split_seed":{},"standardize":true,"threshold":0.5,"family":"binomial","link":"logit"}</t>
  </si>
  <si>
    <t>OR (95% 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</si>
</sst>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</row>
    <row r="10" spans="1:2" x14ac:dyDescent="0.3">
      <c r="A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15</v>
      </c>
    </row>
    <row r="14" spans="1:2" x14ac:dyDescent="0.3">
      <c r="A14" t="s">
        <v>23</v>
      </c>
    </row>
    <row r="15" spans="1:2" x14ac:dyDescent="0.3">
      <c r="A15" t="s">
        <v>24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 t="s">
        <v>28</v>
      </c>
      <c r="B2">
        <v>2889</v>
      </c>
      <c r="C2">
        <v>373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29</v>
      </c>
      <c r="B1" t="s">
        <v>1</v>
      </c>
    </row>
    <row r="2" spans="1:2" x14ac:dyDescent="0.3">
      <c r="A2" t="s">
        <v>30</v>
      </c>
      <c r="B2">
        <v>0.89929999999999999</v>
      </c>
    </row>
    <row r="3" spans="1:2" x14ac:dyDescent="0.3">
      <c r="A3" t="s">
        <v>31</v>
      </c>
      <c r="B3">
        <v>0.90029999999999999</v>
      </c>
    </row>
    <row r="4" spans="1:2" x14ac:dyDescent="0.3">
      <c r="A4" t="s">
        <v>32</v>
      </c>
      <c r="B4">
        <v>0.41020000000000001</v>
      </c>
    </row>
    <row r="5" spans="1:2" x14ac:dyDescent="0.3">
      <c r="A5" t="s">
        <v>33</v>
      </c>
      <c r="B5">
        <v>0.69230000000000003</v>
      </c>
    </row>
    <row r="6" spans="1:2" x14ac:dyDescent="0.3">
      <c r="A6" t="s">
        <v>34</v>
      </c>
      <c r="B6">
        <v>0.51519999999999999</v>
      </c>
    </row>
    <row r="7" spans="1:2" x14ac:dyDescent="0.3">
      <c r="A7" t="s">
        <v>35</v>
      </c>
      <c r="B7">
        <v>0.35460000000000003</v>
      </c>
    </row>
    <row r="8" spans="1:2" x14ac:dyDescent="0.3">
      <c r="A8" t="s">
        <v>36</v>
      </c>
      <c r="B8">
        <v>1454.463</v>
      </c>
    </row>
    <row r="9" spans="1:2" x14ac:dyDescent="0.3">
      <c r="A9" t="s">
        <v>37</v>
      </c>
      <c r="B9">
        <v>7.3999999999999996E-2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3">
      <c r="A2" t="s">
        <v>45</v>
      </c>
      <c r="B2">
        <v>-1.4735652919555499E-9</v>
      </c>
      <c r="C2">
        <v>6.4508288185892604E-2</v>
      </c>
      <c r="D2">
        <v>-2.2843038210984499E-8</v>
      </c>
      <c r="E2">
        <v>0.99999998177389204</v>
      </c>
      <c r="F2">
        <v>-0.126436246317915</v>
      </c>
      <c r="G2">
        <v>0.12643624337078399</v>
      </c>
    </row>
    <row r="3" spans="1:7" x14ac:dyDescent="0.3">
      <c r="A3" t="s">
        <v>46</v>
      </c>
      <c r="B3">
        <v>1.24842438842849</v>
      </c>
      <c r="C3">
        <v>5.4103212649180103E-2</v>
      </c>
      <c r="D3">
        <v>23.074866117907099</v>
      </c>
      <c r="E3">
        <v>8.2805806083601797E-118</v>
      </c>
      <c r="F3">
        <v>1.1423820916361</v>
      </c>
      <c r="G3">
        <v>1.35446668522088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t="s">
        <v>50</v>
      </c>
      <c r="B2" t="s">
        <v>51</v>
      </c>
      <c r="C2">
        <v>-2.6038162380090202</v>
      </c>
    </row>
    <row r="3" spans="1:3" x14ac:dyDescent="0.3">
      <c r="A3" t="s">
        <v>50</v>
      </c>
      <c r="B3" t="s">
        <v>52</v>
      </c>
      <c r="C3">
        <v>1.1604832823382901E-2</v>
      </c>
    </row>
    <row r="4" spans="1:3" x14ac:dyDescent="0.3">
      <c r="A4" t="s">
        <v>50</v>
      </c>
      <c r="B4" t="s">
        <v>53</v>
      </c>
      <c r="C4">
        <v>0</v>
      </c>
    </row>
    <row r="5" spans="1:3" x14ac:dyDescent="0.3">
      <c r="A5" t="s">
        <v>50</v>
      </c>
      <c r="B5" t="s">
        <v>54</v>
      </c>
      <c r="C5">
        <v>0</v>
      </c>
    </row>
    <row r="6" spans="1:3" x14ac:dyDescent="0.3">
      <c r="A6" t="s">
        <v>50</v>
      </c>
      <c r="B6" t="s">
        <v>55</v>
      </c>
      <c r="C6">
        <v>-7.19880978148561E-2</v>
      </c>
    </row>
    <row r="7" spans="1:3" x14ac:dyDescent="0.3">
      <c r="A7" t="s">
        <v>50</v>
      </c>
      <c r="B7" t="s">
        <v>56</v>
      </c>
      <c r="C7">
        <v>-0.119740349564218</v>
      </c>
    </row>
    <row r="8" spans="1:3" x14ac:dyDescent="0.3">
      <c r="A8" t="s">
        <v>50</v>
      </c>
      <c r="B8" t="s">
        <v>57</v>
      </c>
      <c r="C8">
        <v>0.53450282297756002</v>
      </c>
    </row>
    <row r="9" spans="1:3" x14ac:dyDescent="0.3">
      <c r="A9" t="s">
        <v>50</v>
      </c>
      <c r="B9" t="s">
        <v>58</v>
      </c>
      <c r="C9">
        <v>1.44438241262305</v>
      </c>
    </row>
    <row r="10" spans="1:3" x14ac:dyDescent="0.3">
      <c r="A10" t="s">
        <v>50</v>
      </c>
      <c r="B10" t="s">
        <v>59</v>
      </c>
      <c r="C10">
        <v>0</v>
      </c>
    </row>
    <row r="11" spans="1:3" x14ac:dyDescent="0.3">
      <c r="A11" t="s">
        <v>50</v>
      </c>
      <c r="B11" t="s">
        <v>60</v>
      </c>
      <c r="C11">
        <v>0.88719647441549399</v>
      </c>
    </row>
    <row r="12" spans="1:3" x14ac:dyDescent="0.3">
      <c r="A12" t="s">
        <v>50</v>
      </c>
      <c r="B12" t="s">
        <v>61</v>
      </c>
      <c r="C12">
        <v>-0.470491314208214</v>
      </c>
    </row>
    <row r="13" spans="1:3" x14ac:dyDescent="0.3">
      <c r="A13" t="s">
        <v>50</v>
      </c>
      <c r="B13" t="s">
        <v>62</v>
      </c>
      <c r="C13">
        <v>0.33987798461000202</v>
      </c>
    </row>
    <row r="14" spans="1:3" x14ac:dyDescent="0.3">
      <c r="A14" t="s">
        <v>50</v>
      </c>
      <c r="B14" t="s">
        <v>63</v>
      </c>
      <c r="C14">
        <v>-0.36254965850020698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3"/>
  <sheetViews>
    <sheetView tabSelected="1" workbookViewId="0">
      <pane xSplit="1" topLeftCell="G1" activePane="topRight" state="frozen"/>
      <selection pane="topRight" activeCell="R12" sqref="R12"/>
    </sheetView>
  </sheetViews>
  <sheetFormatPr defaultColWidth="11.5546875" defaultRowHeight="14.4" x14ac:dyDescent="0.3"/>
  <cols>
    <col min="10" max="10" width="17.44140625" customWidth="1"/>
  </cols>
  <sheetData>
    <row r="1" spans="1:18" x14ac:dyDescent="0.3">
      <c r="A1" t="s">
        <v>64</v>
      </c>
      <c r="B1" t="s">
        <v>65</v>
      </c>
      <c r="C1" t="s">
        <v>66</v>
      </c>
      <c r="D1" t="s">
        <v>67</v>
      </c>
      <c r="E1" t="s">
        <v>42</v>
      </c>
      <c r="F1" t="s">
        <v>68</v>
      </c>
      <c r="G1" t="s">
        <v>69</v>
      </c>
      <c r="H1" t="s">
        <v>43</v>
      </c>
      <c r="I1" t="s">
        <v>44</v>
      </c>
      <c r="J1" t="s">
        <v>106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</row>
    <row r="2" spans="1:18" x14ac:dyDescent="0.3">
      <c r="A2" t="s">
        <v>52</v>
      </c>
      <c r="B2">
        <v>2.3914424146607199E-2</v>
      </c>
      <c r="C2">
        <v>4.6862172415345297E-3</v>
      </c>
      <c r="D2">
        <v>5.1031403185175996</v>
      </c>
      <c r="E2">
        <v>3.3406311588802901E-7</v>
      </c>
      <c r="F2" t="s">
        <v>78</v>
      </c>
      <c r="G2">
        <v>1.02420266712299</v>
      </c>
      <c r="H2">
        <v>1.01483845110488</v>
      </c>
      <c r="I2">
        <v>1.0336532895455299</v>
      </c>
      <c r="J2" t="str">
        <f>_xlfn.CONCAT(ROUND(G2,3), " (", ROUND(H2,3), "-", ROUND(I2,3), ")")</f>
        <v>1.024 (1.015-1.034)</v>
      </c>
      <c r="K2" t="s">
        <v>52</v>
      </c>
      <c r="L2">
        <v>1.19676978210121</v>
      </c>
      <c r="M2">
        <v>1.19676978210121</v>
      </c>
      <c r="N2">
        <v>1.19676978210121</v>
      </c>
      <c r="O2">
        <v>27.2458992234899</v>
      </c>
      <c r="P2">
        <v>1</v>
      </c>
      <c r="Q2">
        <v>1.7915470007626001E-7</v>
      </c>
      <c r="R2" t="s">
        <v>79</v>
      </c>
    </row>
    <row r="3" spans="1:18" x14ac:dyDescent="0.3">
      <c r="A3" t="s">
        <v>53</v>
      </c>
      <c r="B3">
        <v>0.30618085888466001</v>
      </c>
      <c r="C3">
        <v>0.155070228319034</v>
      </c>
      <c r="D3">
        <v>1.9744657772395799</v>
      </c>
      <c r="E3">
        <v>4.8328805103613898E-2</v>
      </c>
      <c r="F3" t="s">
        <v>80</v>
      </c>
      <c r="G3">
        <v>1.35822793192434</v>
      </c>
      <c r="H3">
        <v>1.0022457292603599</v>
      </c>
      <c r="I3">
        <v>1.8406495145864901</v>
      </c>
      <c r="J3" t="str">
        <f t="shared" ref="J3:J13" si="0">_xlfn.CONCAT(ROUND(G3,2), " (", ROUND(H3,2), "-", ROUND(I3,2), ")")</f>
        <v>1.36 (1-1.84)</v>
      </c>
      <c r="K3" t="s">
        <v>81</v>
      </c>
      <c r="L3">
        <v>1.1405736965236</v>
      </c>
      <c r="M3">
        <v>1.2278474977593199</v>
      </c>
      <c r="N3">
        <v>1.2278474977593199</v>
      </c>
      <c r="O3">
        <v>12.572978405072</v>
      </c>
      <c r="P3">
        <v>3</v>
      </c>
      <c r="Q3">
        <v>5.6572518423311999E-3</v>
      </c>
      <c r="R3" t="s">
        <v>82</v>
      </c>
    </row>
    <row r="4" spans="1:18" x14ac:dyDescent="0.3">
      <c r="A4" t="s">
        <v>54</v>
      </c>
      <c r="B4">
        <v>0.26156150474485501</v>
      </c>
      <c r="C4">
        <v>0.38711423228807701</v>
      </c>
      <c r="D4">
        <v>0.675670081151164</v>
      </c>
      <c r="E4">
        <v>0.49925013565410398</v>
      </c>
      <c r="F4" t="s">
        <v>83</v>
      </c>
      <c r="G4">
        <v>1.29895683112357</v>
      </c>
      <c r="H4">
        <v>0.60824203610029903</v>
      </c>
      <c r="I4">
        <v>2.77404182706695</v>
      </c>
      <c r="J4" t="str">
        <f t="shared" si="0"/>
        <v>1.3 (0.61-2.77)</v>
      </c>
      <c r="K4" t="s">
        <v>81</v>
      </c>
      <c r="L4">
        <v>1.1405736965236</v>
      </c>
      <c r="M4">
        <v>1.2278474977593199</v>
      </c>
      <c r="N4">
        <v>1.11947538845769</v>
      </c>
      <c r="O4">
        <v>12.572978405072</v>
      </c>
      <c r="P4">
        <v>3</v>
      </c>
      <c r="Q4">
        <v>5.6572518423311999E-3</v>
      </c>
      <c r="R4" t="s">
        <v>82</v>
      </c>
    </row>
    <row r="5" spans="1:18" x14ac:dyDescent="0.3">
      <c r="A5" t="s">
        <v>55</v>
      </c>
      <c r="B5">
        <v>-0.67239418278260399</v>
      </c>
      <c r="C5">
        <v>0.29722678671345898</v>
      </c>
      <c r="D5">
        <v>-2.2622260605024902</v>
      </c>
      <c r="E5">
        <v>2.3683439980573401E-2</v>
      </c>
      <c r="F5" t="s">
        <v>84</v>
      </c>
      <c r="G5">
        <v>0.51048491933540496</v>
      </c>
      <c r="H5">
        <v>0.28508762645027103</v>
      </c>
      <c r="I5">
        <v>0.91408685853411498</v>
      </c>
      <c r="J5" t="str">
        <f t="shared" si="0"/>
        <v>0.51 (0.29-0.91)</v>
      </c>
      <c r="K5" t="s">
        <v>81</v>
      </c>
      <c r="L5">
        <v>1.1405736965236</v>
      </c>
      <c r="M5">
        <v>1.2278474977593199</v>
      </c>
      <c r="N5">
        <v>1.07439820335378</v>
      </c>
      <c r="O5">
        <v>12.572978405072</v>
      </c>
      <c r="P5">
        <v>3</v>
      </c>
      <c r="Q5">
        <v>5.6572518423311999E-3</v>
      </c>
      <c r="R5" t="s">
        <v>82</v>
      </c>
    </row>
    <row r="6" spans="1:18" x14ac:dyDescent="0.3">
      <c r="A6" t="s">
        <v>56</v>
      </c>
      <c r="B6">
        <v>-0.13654412351073</v>
      </c>
      <c r="C6">
        <v>2.1006819024481899E-2</v>
      </c>
      <c r="D6">
        <v>-6.4999904722175099</v>
      </c>
      <c r="E6">
        <v>8.0325098825662203E-11</v>
      </c>
      <c r="F6" t="s">
        <v>85</v>
      </c>
      <c r="G6">
        <v>0.87236782747921404</v>
      </c>
      <c r="H6">
        <v>0.83717890250064697</v>
      </c>
      <c r="I6">
        <v>0.90903583946946798</v>
      </c>
      <c r="J6" t="str">
        <f t="shared" si="0"/>
        <v>0.87 (0.84-0.91)</v>
      </c>
      <c r="K6" t="s">
        <v>56</v>
      </c>
      <c r="L6">
        <v>1.8312697482193001</v>
      </c>
      <c r="M6">
        <v>1.8312697482193001</v>
      </c>
      <c r="N6">
        <v>1.8312697482193001</v>
      </c>
      <c r="O6">
        <v>44.048860953886802</v>
      </c>
      <c r="P6">
        <v>1</v>
      </c>
      <c r="Q6">
        <v>3.20280194390327E-11</v>
      </c>
      <c r="R6" t="s">
        <v>86</v>
      </c>
    </row>
    <row r="7" spans="1:18" x14ac:dyDescent="0.3">
      <c r="A7" t="s">
        <v>57</v>
      </c>
      <c r="B7">
        <v>0.69571541761119005</v>
      </c>
      <c r="C7">
        <v>0.22661913570322301</v>
      </c>
      <c r="D7">
        <v>3.0699764847849802</v>
      </c>
      <c r="E7">
        <v>2.1407562534991298E-3</v>
      </c>
      <c r="F7" t="s">
        <v>87</v>
      </c>
      <c r="G7">
        <v>2.0051430755942299</v>
      </c>
      <c r="H7">
        <v>1.2860067975792</v>
      </c>
      <c r="I7">
        <v>3.1264210742679799</v>
      </c>
      <c r="J7" t="str">
        <f t="shared" si="0"/>
        <v>2.01 (1.29-3.13)</v>
      </c>
      <c r="K7" t="s">
        <v>88</v>
      </c>
      <c r="L7">
        <v>1.3697320487934901</v>
      </c>
      <c r="M7">
        <v>1.3697320487934901</v>
      </c>
      <c r="N7">
        <v>1.3697320487934901</v>
      </c>
      <c r="O7">
        <v>9.6199163139458506</v>
      </c>
      <c r="P7">
        <v>1</v>
      </c>
      <c r="Q7">
        <v>1.92478503879431E-3</v>
      </c>
      <c r="R7" t="s">
        <v>89</v>
      </c>
    </row>
    <row r="8" spans="1:18" x14ac:dyDescent="0.3">
      <c r="A8" t="s">
        <v>58</v>
      </c>
      <c r="B8">
        <v>1.54013679712108</v>
      </c>
      <c r="C8">
        <v>0.17059852162665501</v>
      </c>
      <c r="D8">
        <v>9.0278437493824395</v>
      </c>
      <c r="E8">
        <v>1.7508759705905601E-19</v>
      </c>
      <c r="F8" t="s">
        <v>90</v>
      </c>
      <c r="G8">
        <v>4.6652284171555003</v>
      </c>
      <c r="H8">
        <v>3.3393083166962398</v>
      </c>
      <c r="I8">
        <v>6.5176240466971596</v>
      </c>
      <c r="J8" t="str">
        <f t="shared" si="0"/>
        <v>4.67 (3.34-6.52)</v>
      </c>
      <c r="K8" t="s">
        <v>91</v>
      </c>
      <c r="L8">
        <v>1.77714967988109</v>
      </c>
      <c r="M8">
        <v>1.77714967988109</v>
      </c>
      <c r="N8">
        <v>1.77714967988109</v>
      </c>
      <c r="O8">
        <v>82.656717096277603</v>
      </c>
      <c r="P8">
        <v>1</v>
      </c>
      <c r="Q8">
        <v>9.7615525916218104E-20</v>
      </c>
      <c r="R8" t="s">
        <v>90</v>
      </c>
    </row>
    <row r="9" spans="1:18" x14ac:dyDescent="0.3">
      <c r="A9" t="s">
        <v>59</v>
      </c>
      <c r="B9">
        <v>1.4031080608695601</v>
      </c>
      <c r="C9">
        <v>0.32779630270656901</v>
      </c>
      <c r="D9">
        <v>4.2804267445492403</v>
      </c>
      <c r="E9">
        <v>1.8653528172055401E-5</v>
      </c>
      <c r="F9" t="s">
        <v>92</v>
      </c>
      <c r="G9">
        <v>4.0678233821895899</v>
      </c>
      <c r="H9">
        <v>2.1396179981549501</v>
      </c>
      <c r="I9">
        <v>7.7337109161343101</v>
      </c>
      <c r="J9" t="str">
        <f t="shared" si="0"/>
        <v>4.07 (2.14-7.73)</v>
      </c>
      <c r="K9" t="s">
        <v>93</v>
      </c>
      <c r="L9">
        <v>1.5864305666160601</v>
      </c>
      <c r="M9">
        <v>1.81284598037518</v>
      </c>
      <c r="N9">
        <v>1.36001515285695</v>
      </c>
      <c r="O9">
        <v>92.595702326034399</v>
      </c>
      <c r="P9">
        <v>2</v>
      </c>
      <c r="Q9">
        <v>7.8180549019962302E-21</v>
      </c>
      <c r="R9" t="s">
        <v>90</v>
      </c>
    </row>
    <row r="10" spans="1:18" x14ac:dyDescent="0.3">
      <c r="A10" t="s">
        <v>60</v>
      </c>
      <c r="B10">
        <v>2.33631013389902</v>
      </c>
      <c r="C10">
        <v>0.31024085834670301</v>
      </c>
      <c r="D10">
        <v>7.53063328392461</v>
      </c>
      <c r="E10">
        <v>5.0494818381427701E-14</v>
      </c>
      <c r="F10" t="s">
        <v>94</v>
      </c>
      <c r="G10">
        <v>10.343001773859401</v>
      </c>
      <c r="H10">
        <v>5.6307241174169498</v>
      </c>
      <c r="I10">
        <v>18.998921535358999</v>
      </c>
      <c r="J10" t="str">
        <f t="shared" si="0"/>
        <v>10.34 (5.63-19)</v>
      </c>
      <c r="K10" t="s">
        <v>93</v>
      </c>
      <c r="L10">
        <v>1.5864305666160601</v>
      </c>
      <c r="M10">
        <v>1.81284598037518</v>
      </c>
      <c r="N10">
        <v>1.81284598037518</v>
      </c>
      <c r="O10">
        <v>92.595702326034399</v>
      </c>
      <c r="P10">
        <v>2</v>
      </c>
      <c r="Q10">
        <v>7.8180549019962302E-21</v>
      </c>
      <c r="R10" t="s">
        <v>90</v>
      </c>
    </row>
    <row r="11" spans="1:18" x14ac:dyDescent="0.3">
      <c r="A11" t="s">
        <v>61</v>
      </c>
      <c r="B11">
        <v>-1.0126659315898401</v>
      </c>
      <c r="C11">
        <v>0.17909647576415799</v>
      </c>
      <c r="D11">
        <v>-5.6543040686259296</v>
      </c>
      <c r="E11">
        <v>1.56478982000618E-8</v>
      </c>
      <c r="F11" t="s">
        <v>95</v>
      </c>
      <c r="G11">
        <v>0.36324928982583998</v>
      </c>
      <c r="H11">
        <v>0.25571415916516699</v>
      </c>
      <c r="I11">
        <v>0.516006024029939</v>
      </c>
      <c r="J11" t="str">
        <f t="shared" si="0"/>
        <v>0.36 (0.26-0.52)</v>
      </c>
      <c r="K11" t="s">
        <v>96</v>
      </c>
      <c r="L11">
        <v>1.1348195614599399</v>
      </c>
      <c r="M11">
        <v>1.1348195614599399</v>
      </c>
      <c r="N11">
        <v>1.1348195614599399</v>
      </c>
      <c r="O11">
        <v>34.650154125769603</v>
      </c>
      <c r="P11">
        <v>1</v>
      </c>
      <c r="Q11">
        <v>3.9460732691777296E-9</v>
      </c>
      <c r="R11" t="s">
        <v>97</v>
      </c>
    </row>
    <row r="12" spans="1:18" x14ac:dyDescent="0.3">
      <c r="A12" t="s">
        <v>62</v>
      </c>
      <c r="B12">
        <v>0.76849439945708198</v>
      </c>
      <c r="C12">
        <v>0.188593581955872</v>
      </c>
      <c r="D12">
        <v>4.0748703719774397</v>
      </c>
      <c r="E12">
        <v>4.6039985285478698E-5</v>
      </c>
      <c r="F12" t="s">
        <v>98</v>
      </c>
      <c r="G12">
        <v>2.1565169552272798</v>
      </c>
      <c r="H12">
        <v>1.4901115438856201</v>
      </c>
      <c r="I12">
        <v>3.1209511779607499</v>
      </c>
      <c r="J12" t="str">
        <f t="shared" si="0"/>
        <v>2.16 (1.49-3.12)</v>
      </c>
      <c r="K12" t="s">
        <v>99</v>
      </c>
      <c r="L12">
        <v>1.0981889748629701</v>
      </c>
      <c r="M12">
        <v>1.0981889748629701</v>
      </c>
      <c r="N12">
        <v>1.0981889748629701</v>
      </c>
      <c r="O12">
        <v>17.815829836248898</v>
      </c>
      <c r="P12">
        <v>1</v>
      </c>
      <c r="Q12">
        <v>2.4335022361577301E-5</v>
      </c>
      <c r="R12" t="s">
        <v>100</v>
      </c>
    </row>
    <row r="13" spans="1:18" x14ac:dyDescent="0.3">
      <c r="A13" t="s">
        <v>63</v>
      </c>
      <c r="B13">
        <v>-2.1622929416801302</v>
      </c>
      <c r="C13">
        <v>0.76567120027781399</v>
      </c>
      <c r="D13">
        <v>-2.8240489401920401</v>
      </c>
      <c r="E13">
        <v>4.7421143325124399E-3</v>
      </c>
      <c r="F13" t="s">
        <v>101</v>
      </c>
      <c r="G13">
        <v>0.115060990195302</v>
      </c>
      <c r="H13">
        <v>2.5655212946711001E-2</v>
      </c>
      <c r="I13">
        <v>0.51603670147748804</v>
      </c>
      <c r="J13" t="str">
        <f t="shared" si="0"/>
        <v>0.12 (0.03-0.52)</v>
      </c>
      <c r="K13" t="s">
        <v>102</v>
      </c>
      <c r="L13">
        <v>1.07216176414044</v>
      </c>
      <c r="M13">
        <v>1.07216176414044</v>
      </c>
      <c r="N13">
        <v>1.07216176414044</v>
      </c>
      <c r="O13">
        <v>13.5347385310727</v>
      </c>
      <c r="P13">
        <v>1</v>
      </c>
      <c r="Q13">
        <v>2.3418800788275199E-4</v>
      </c>
      <c r="R13" t="s">
        <v>103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104</v>
      </c>
    </row>
    <row r="2" spans="1:1" x14ac:dyDescent="0.3">
      <c r="A2" t="s">
        <v>105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2025-10-13T05:46:18Z</dcterms:created>
  <dcterms:modified xsi:type="dcterms:W3CDTF">2025-10-22T08:00:55Z</dcterms:modified>
</cp:coreProperties>
</file>