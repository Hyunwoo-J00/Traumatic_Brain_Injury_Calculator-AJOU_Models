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niced\Desktop\TBI_risk_factor_R\Final_Model\Death\Clinical\Alternative\"/>
    </mc:Choice>
  </mc:AlternateContent>
  <xr:revisionPtr revIDLastSave="0" documentId="13_ncr:1_{D9D0183A-A0A9-4AA7-926A-F3C899BE3E17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Model_Info" sheetId="1" r:id="rId1"/>
    <sheet name="Split_Info" sheetId="2" r:id="rId2"/>
    <sheet name="Train_Metrics" sheetId="3" r:id="rId3"/>
    <sheet name="Calibration_Stats_Train" sheetId="4" r:id="rId4"/>
    <sheet name="Coefficients" sheetId="5" r:id="rId5"/>
    <sheet name="Variable_Summary" sheetId="6" r:id="rId6"/>
    <sheet name="Calibration_Plot_Train" sheetId="7" r:id="rId7"/>
    <sheet name="Specs_JSON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6" l="1"/>
  <c r="J3" i="6"/>
  <c r="J4" i="6"/>
  <c r="J5" i="6"/>
  <c r="J6" i="6"/>
  <c r="J7" i="6"/>
  <c r="J8" i="6"/>
  <c r="J9" i="6"/>
  <c r="J10" i="6"/>
</calcChain>
</file>

<file path=xl/sharedStrings.xml><?xml version="1.0" encoding="utf-8"?>
<sst xmlns="http://schemas.openxmlformats.org/spreadsheetml/2006/main" count="149" uniqueCount="96">
  <si>
    <t>Item</t>
  </si>
  <si>
    <t>Value</t>
  </si>
  <si>
    <t>Formula</t>
  </si>
  <si>
    <t>`14d_death` ~ Age + InjuryHx.InjCause + arr_GCS_derived + arr_pp_size + arr_pp_prompt + head_neck_AIS</t>
  </si>
  <si>
    <t>N_total</t>
  </si>
  <si>
    <t>2889</t>
  </si>
  <si>
    <t>Pos_Level</t>
  </si>
  <si>
    <t>1</t>
  </si>
  <si>
    <t>Penalty</t>
  </si>
  <si>
    <t>lasso</t>
  </si>
  <si>
    <t>Alpha</t>
  </si>
  <si>
    <t>Lambda_Chosen</t>
  </si>
  <si>
    <t>0.0124117905696014</t>
  </si>
  <si>
    <t>Use_CV</t>
  </si>
  <si>
    <t>TRUE</t>
  </si>
  <si>
    <t>Choose</t>
  </si>
  <si>
    <t>lambda.1se</t>
  </si>
  <si>
    <t>nfolds</t>
  </si>
  <si>
    <t>10</t>
  </si>
  <si>
    <t>Threshold</t>
  </si>
  <si>
    <t>0.5</t>
  </si>
  <si>
    <t>Standardize</t>
  </si>
  <si>
    <t>Train_Test</t>
  </si>
  <si>
    <t>FALSE</t>
  </si>
  <si>
    <t>Test_Prop</t>
  </si>
  <si>
    <t>Split_Seed</t>
  </si>
  <si>
    <t>Set</t>
  </si>
  <si>
    <t>N</t>
  </si>
  <si>
    <t>Events</t>
  </si>
  <si>
    <t>All</t>
  </si>
  <si>
    <t>Metric</t>
  </si>
  <si>
    <t>AUROC</t>
  </si>
  <si>
    <t>Accuracy</t>
  </si>
  <si>
    <t>Recall</t>
  </si>
  <si>
    <t>Precision</t>
  </si>
  <si>
    <t>F1</t>
  </si>
  <si>
    <t>PseudoR2</t>
  </si>
  <si>
    <t>AIC_like</t>
  </si>
  <si>
    <t>Brier</t>
  </si>
  <si>
    <t>Term</t>
  </si>
  <si>
    <t>Estimate</t>
  </si>
  <si>
    <t>SE</t>
  </si>
  <si>
    <t>Z</t>
  </si>
  <si>
    <t>P_value</t>
  </si>
  <si>
    <t>CI_lower</t>
  </si>
  <si>
    <t>CI_upper</t>
  </si>
  <si>
    <t>CITL (Intercept w/ offset)</t>
  </si>
  <si>
    <t>Calibration slope</t>
  </si>
  <si>
    <t>Lambda</t>
  </si>
  <si>
    <t>Feature</t>
  </si>
  <si>
    <t>Coef</t>
  </si>
  <si>
    <t>lambda.min</t>
  </si>
  <si>
    <t>(Intercept)</t>
  </si>
  <si>
    <t>Age</t>
  </si>
  <si>
    <t>InjuryHx.InjCause1</t>
  </si>
  <si>
    <t>InjuryHx.InjCause3</t>
  </si>
  <si>
    <t>InjuryHx.InjCause88</t>
  </si>
  <si>
    <t>arr_GCS_derived</t>
  </si>
  <si>
    <t>arr_pp_sizebilaterally mydriatic</t>
  </si>
  <si>
    <t>arr_pp_promptbilateral absence</t>
  </si>
  <si>
    <t>head_neck_AIS4</t>
  </si>
  <si>
    <t>head_neck_AIS5</t>
  </si>
  <si>
    <t>Variable</t>
  </si>
  <si>
    <t>Coefficient</t>
  </si>
  <si>
    <t>Std_Error</t>
  </si>
  <si>
    <t>Z_value</t>
  </si>
  <si>
    <t>P_value_str</t>
  </si>
  <si>
    <t>OR</t>
  </si>
  <si>
    <t>Original</t>
  </si>
  <si>
    <t>Avg_VIF</t>
  </si>
  <si>
    <t>Max_VIF</t>
  </si>
  <si>
    <t>VIF_raw</t>
  </si>
  <si>
    <t>LR_stat</t>
  </si>
  <si>
    <t>df_diff</t>
  </si>
  <si>
    <t>LR_pvalue</t>
  </si>
  <si>
    <t>LR_pvalue_str</t>
  </si>
  <si>
    <t>9.24e-13</t>
  </si>
  <si>
    <t>9.34e-14</t>
  </si>
  <si>
    <t>0.0166</t>
  </si>
  <si>
    <t>InjuryHx.InjCause</t>
  </si>
  <si>
    <t>0.00153</t>
  </si>
  <si>
    <t>0.705</t>
  </si>
  <si>
    <t>0.021</t>
  </si>
  <si>
    <t>3.91e-13</t>
  </si>
  <si>
    <t>9.11e-14</t>
  </si>
  <si>
    <t>0.000258</t>
  </si>
  <si>
    <t>arr_pp_size</t>
  </si>
  <si>
    <t>0.000216</t>
  </si>
  <si>
    <t>&lt; 1e-16</t>
  </si>
  <si>
    <t>arr_pp_prompt</t>
  </si>
  <si>
    <t>1.8e-05</t>
  </si>
  <si>
    <t>head_neck_AIS</t>
  </si>
  <si>
    <t>1.45e-12</t>
  </si>
  <si>
    <t>JSON</t>
  </si>
  <si>
    <t>{"formula":"`14d_death` ~ Age + InjuryHx.InjCause + arr_GCS_derived + arr_pp_size + arr_pp_prompt + head_neck_AIS","penalty":"lasso","alpha":1,"lambda":0.0124,"x_names":["Age","InjuryHx.InjCause1","InjuryHx.InjCause3","InjuryHx.InjCause88","arr_GCS_derived","arr_pp_sizebilaterally mydriatic","arr_pp_promptbilateral absence","head_neck_AIS4","head_neck_AIS5"],"train_test":false,"test_prop":{},"split_seed":{},"standardize":true,"threshold":0.5,"family":"binomial","link":"logit"}</t>
  </si>
  <si>
    <t>OR (95% CI)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</si>
</sst>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돋움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486400" cy="4572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  <row r="9" spans="1:2" x14ac:dyDescent="0.3">
      <c r="A9" t="s">
        <v>15</v>
      </c>
      <c r="B9" t="s">
        <v>16</v>
      </c>
    </row>
    <row r="10" spans="1:2" x14ac:dyDescent="0.3">
      <c r="A10" t="s">
        <v>17</v>
      </c>
      <c r="B10" t="s">
        <v>18</v>
      </c>
    </row>
    <row r="11" spans="1:2" x14ac:dyDescent="0.3">
      <c r="A11" t="s">
        <v>19</v>
      </c>
      <c r="B11" t="s">
        <v>20</v>
      </c>
    </row>
    <row r="12" spans="1:2" x14ac:dyDescent="0.3">
      <c r="A12" t="s">
        <v>21</v>
      </c>
      <c r="B12" t="s">
        <v>14</v>
      </c>
    </row>
    <row r="13" spans="1:2" x14ac:dyDescent="0.3">
      <c r="A13" t="s">
        <v>22</v>
      </c>
      <c r="B13" t="s">
        <v>23</v>
      </c>
    </row>
    <row r="14" spans="1:2" x14ac:dyDescent="0.3">
      <c r="A14" t="s">
        <v>24</v>
      </c>
    </row>
    <row r="15" spans="1:2" x14ac:dyDescent="0.3">
      <c r="A15" t="s">
        <v>25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ColWidth="11.5546875" defaultRowHeight="14.4" x14ac:dyDescent="0.3"/>
  <sheetData>
    <row r="1" spans="1:3" x14ac:dyDescent="0.3">
      <c r="A1" t="s">
        <v>26</v>
      </c>
      <c r="B1" t="s">
        <v>27</v>
      </c>
      <c r="C1" t="s">
        <v>28</v>
      </c>
    </row>
    <row r="2" spans="1:3" x14ac:dyDescent="0.3">
      <c r="A2" t="s">
        <v>29</v>
      </c>
      <c r="B2">
        <v>2889</v>
      </c>
      <c r="C2">
        <v>373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sheetData>
    <row r="1" spans="1:2" x14ac:dyDescent="0.3">
      <c r="A1" t="s">
        <v>30</v>
      </c>
      <c r="B1" t="s">
        <v>1</v>
      </c>
    </row>
    <row r="2" spans="1:2" x14ac:dyDescent="0.3">
      <c r="A2" t="s">
        <v>31</v>
      </c>
      <c r="B2">
        <v>0.89170000000000005</v>
      </c>
    </row>
    <row r="3" spans="1:2" x14ac:dyDescent="0.3">
      <c r="A3" t="s">
        <v>32</v>
      </c>
      <c r="B3">
        <v>0.89749999999999996</v>
      </c>
    </row>
    <row r="4" spans="1:2" x14ac:dyDescent="0.3">
      <c r="A4" t="s">
        <v>33</v>
      </c>
      <c r="B4">
        <v>0.41549999999999998</v>
      </c>
    </row>
    <row r="5" spans="1:2" x14ac:dyDescent="0.3">
      <c r="A5" t="s">
        <v>34</v>
      </c>
      <c r="B5">
        <v>0.66520000000000001</v>
      </c>
    </row>
    <row r="6" spans="1:2" x14ac:dyDescent="0.3">
      <c r="A6" t="s">
        <v>35</v>
      </c>
      <c r="B6">
        <v>0.51160000000000005</v>
      </c>
    </row>
    <row r="7" spans="1:2" x14ac:dyDescent="0.3">
      <c r="A7" t="s">
        <v>36</v>
      </c>
      <c r="B7">
        <v>0.34050000000000002</v>
      </c>
    </row>
    <row r="8" spans="1:2" x14ac:dyDescent="0.3">
      <c r="A8" t="s">
        <v>37</v>
      </c>
      <c r="B8">
        <v>1481.9280000000001</v>
      </c>
    </row>
    <row r="9" spans="1:2" x14ac:dyDescent="0.3">
      <c r="A9" t="s">
        <v>38</v>
      </c>
      <c r="B9">
        <v>7.5800000000000006E-2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sheetData>
    <row r="1" spans="1:7" x14ac:dyDescent="0.3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</row>
    <row r="2" spans="1:7" x14ac:dyDescent="0.3">
      <c r="A2" t="s">
        <v>46</v>
      </c>
      <c r="B2">
        <v>-2.8126093692370799E-8</v>
      </c>
      <c r="C2">
        <v>6.4919195819664502E-2</v>
      </c>
      <c r="D2">
        <v>-4.3324772183717098E-7</v>
      </c>
      <c r="E2">
        <v>0.99999965431833204</v>
      </c>
      <c r="F2">
        <v>-0.12724165193263601</v>
      </c>
      <c r="G2">
        <v>0.12724159568044899</v>
      </c>
    </row>
    <row r="3" spans="1:7" x14ac:dyDescent="0.3">
      <c r="A3" t="s">
        <v>47</v>
      </c>
      <c r="B3">
        <v>1.1710773564608501</v>
      </c>
      <c r="C3">
        <v>5.1150059034099901E-2</v>
      </c>
      <c r="D3">
        <v>22.894936556771899</v>
      </c>
      <c r="E3">
        <v>5.2184736562777195E-116</v>
      </c>
      <c r="F3">
        <v>1.0708232407540199</v>
      </c>
      <c r="G3">
        <v>1.27133147216769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1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sheetData>
    <row r="1" spans="1:3" x14ac:dyDescent="0.3">
      <c r="A1" t="s">
        <v>48</v>
      </c>
      <c r="B1" t="s">
        <v>49</v>
      </c>
      <c r="C1" t="s">
        <v>50</v>
      </c>
    </row>
    <row r="2" spans="1:3" x14ac:dyDescent="0.3">
      <c r="A2" t="s">
        <v>51</v>
      </c>
      <c r="B2" t="s">
        <v>52</v>
      </c>
      <c r="C2">
        <v>-4.6577336787487598</v>
      </c>
    </row>
    <row r="3" spans="1:3" x14ac:dyDescent="0.3">
      <c r="A3" t="s">
        <v>51</v>
      </c>
      <c r="B3" t="s">
        <v>53</v>
      </c>
      <c r="C3">
        <v>3.10492125154553E-2</v>
      </c>
    </row>
    <row r="4" spans="1:3" x14ac:dyDescent="0.3">
      <c r="A4" t="s">
        <v>51</v>
      </c>
      <c r="B4" t="s">
        <v>54</v>
      </c>
      <c r="C4">
        <v>0.33798641708131899</v>
      </c>
    </row>
    <row r="5" spans="1:3" x14ac:dyDescent="0.3">
      <c r="A5" t="s">
        <v>51</v>
      </c>
      <c r="B5" t="s">
        <v>55</v>
      </c>
      <c r="C5">
        <v>6.9226394823228302E-2</v>
      </c>
    </row>
    <row r="6" spans="1:3" x14ac:dyDescent="0.3">
      <c r="A6" t="s">
        <v>51</v>
      </c>
      <c r="B6" t="s">
        <v>56</v>
      </c>
      <c r="C6">
        <v>-0.64771983916340303</v>
      </c>
    </row>
    <row r="7" spans="1:3" x14ac:dyDescent="0.3">
      <c r="A7" t="s">
        <v>51</v>
      </c>
      <c r="B7" t="s">
        <v>57</v>
      </c>
      <c r="C7">
        <v>-0.147464387880025</v>
      </c>
    </row>
    <row r="8" spans="1:3" x14ac:dyDescent="0.3">
      <c r="A8" t="s">
        <v>51</v>
      </c>
      <c r="B8" t="s">
        <v>58</v>
      </c>
      <c r="C8">
        <v>0.78893726792601104</v>
      </c>
    </row>
    <row r="9" spans="1:3" x14ac:dyDescent="0.3">
      <c r="A9" t="s">
        <v>51</v>
      </c>
      <c r="B9" t="s">
        <v>59</v>
      </c>
      <c r="C9">
        <v>1.5570439341728599</v>
      </c>
    </row>
    <row r="10" spans="1:3" x14ac:dyDescent="0.3">
      <c r="A10" t="s">
        <v>51</v>
      </c>
      <c r="B10" t="s">
        <v>60</v>
      </c>
      <c r="C10">
        <v>1.2575264298811899</v>
      </c>
    </row>
    <row r="11" spans="1:3" x14ac:dyDescent="0.3">
      <c r="A11" t="s">
        <v>51</v>
      </c>
      <c r="B11" t="s">
        <v>61</v>
      </c>
      <c r="C11">
        <v>2.0431199381209701</v>
      </c>
    </row>
    <row r="12" spans="1:3" x14ac:dyDescent="0.3">
      <c r="A12" t="s">
        <v>16</v>
      </c>
      <c r="B12" t="s">
        <v>52</v>
      </c>
      <c r="C12">
        <v>-2.6557645730607402</v>
      </c>
    </row>
    <row r="13" spans="1:3" x14ac:dyDescent="0.3">
      <c r="A13" t="s">
        <v>16</v>
      </c>
      <c r="B13" t="s">
        <v>53</v>
      </c>
      <c r="C13">
        <v>1.67249780767263E-2</v>
      </c>
    </row>
    <row r="14" spans="1:3" x14ac:dyDescent="0.3">
      <c r="A14" t="s">
        <v>16</v>
      </c>
      <c r="B14" t="s">
        <v>54</v>
      </c>
      <c r="C14">
        <v>1.6459594220741801E-2</v>
      </c>
    </row>
    <row r="15" spans="1:3" x14ac:dyDescent="0.3">
      <c r="A15" t="s">
        <v>16</v>
      </c>
      <c r="B15" t="s">
        <v>55</v>
      </c>
      <c r="C15">
        <v>0</v>
      </c>
    </row>
    <row r="16" spans="1:3" x14ac:dyDescent="0.3">
      <c r="A16" t="s">
        <v>16</v>
      </c>
      <c r="B16" t="s">
        <v>56</v>
      </c>
      <c r="C16">
        <v>-9.4589225253867398E-2</v>
      </c>
    </row>
    <row r="17" spans="1:3" x14ac:dyDescent="0.3">
      <c r="A17" t="s">
        <v>16</v>
      </c>
      <c r="B17" t="s">
        <v>57</v>
      </c>
      <c r="C17">
        <v>-0.136937333325928</v>
      </c>
    </row>
    <row r="18" spans="1:3" x14ac:dyDescent="0.3">
      <c r="A18" t="s">
        <v>16</v>
      </c>
      <c r="B18" t="s">
        <v>58</v>
      </c>
      <c r="C18">
        <v>0.54098612693616899</v>
      </c>
    </row>
    <row r="19" spans="1:3" x14ac:dyDescent="0.3">
      <c r="A19" t="s">
        <v>16</v>
      </c>
      <c r="B19" t="s">
        <v>59</v>
      </c>
      <c r="C19">
        <v>1.5153233559391099</v>
      </c>
    </row>
    <row r="20" spans="1:3" x14ac:dyDescent="0.3">
      <c r="A20" t="s">
        <v>16</v>
      </c>
      <c r="B20" t="s">
        <v>60</v>
      </c>
      <c r="C20">
        <v>0</v>
      </c>
    </row>
    <row r="21" spans="1:3" x14ac:dyDescent="0.3">
      <c r="A21" t="s">
        <v>16</v>
      </c>
      <c r="B21" t="s">
        <v>61</v>
      </c>
      <c r="C21">
        <v>0.84863306373036396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0"/>
  <sheetViews>
    <sheetView tabSelected="1" workbookViewId="0">
      <pane xSplit="1" topLeftCell="C1" activePane="topRight" state="frozen"/>
      <selection pane="topRight" activeCell="L7" sqref="L7"/>
    </sheetView>
  </sheetViews>
  <sheetFormatPr defaultColWidth="11.5546875" defaultRowHeight="14.4" x14ac:dyDescent="0.3"/>
  <sheetData>
    <row r="1" spans="1:18" x14ac:dyDescent="0.3">
      <c r="A1" t="s">
        <v>62</v>
      </c>
      <c r="B1" t="s">
        <v>63</v>
      </c>
      <c r="C1" t="s">
        <v>64</v>
      </c>
      <c r="D1" t="s">
        <v>65</v>
      </c>
      <c r="E1" t="s">
        <v>43</v>
      </c>
      <c r="F1" t="s">
        <v>66</v>
      </c>
      <c r="G1" t="s">
        <v>67</v>
      </c>
      <c r="H1" t="s">
        <v>44</v>
      </c>
      <c r="I1" t="s">
        <v>45</v>
      </c>
      <c r="J1" t="s">
        <v>95</v>
      </c>
      <c r="K1" t="s">
        <v>68</v>
      </c>
      <c r="L1" t="s">
        <v>69</v>
      </c>
      <c r="M1" t="s">
        <v>70</v>
      </c>
      <c r="N1" t="s">
        <v>71</v>
      </c>
      <c r="O1" t="s">
        <v>72</v>
      </c>
      <c r="P1" t="s">
        <v>73</v>
      </c>
      <c r="Q1" t="s">
        <v>74</v>
      </c>
      <c r="R1" t="s">
        <v>75</v>
      </c>
    </row>
    <row r="2" spans="1:18" x14ac:dyDescent="0.3">
      <c r="A2" t="s">
        <v>53</v>
      </c>
      <c r="B2">
        <v>3.2003994718616799E-2</v>
      </c>
      <c r="C2">
        <v>4.4815080024393E-3</v>
      </c>
      <c r="D2">
        <v>7.14134498949839</v>
      </c>
      <c r="E2">
        <v>9.2422061861586793E-13</v>
      </c>
      <c r="F2" t="s">
        <v>76</v>
      </c>
      <c r="G2">
        <v>1.03252162993026</v>
      </c>
      <c r="H2">
        <v>1.0234919275999601</v>
      </c>
      <c r="I2">
        <v>1.04163099632236</v>
      </c>
      <c r="J2" t="str">
        <f>_xlfn.CONCAT(ROUND(G2,3), " (", ROUND(H2,3), "-", ROUND(I2,3), ")")</f>
        <v>1.033 (1.023-1.042)</v>
      </c>
      <c r="K2" t="s">
        <v>53</v>
      </c>
      <c r="L2">
        <v>1.1057009440657299</v>
      </c>
      <c r="M2">
        <v>1.1057009440657299</v>
      </c>
      <c r="N2">
        <v>1.1057009440657299</v>
      </c>
      <c r="O2">
        <v>55.500427878475897</v>
      </c>
      <c r="P2">
        <v>1</v>
      </c>
      <c r="Q2">
        <v>9.3438674431057999E-14</v>
      </c>
      <c r="R2" t="s">
        <v>77</v>
      </c>
    </row>
    <row r="3" spans="1:18" x14ac:dyDescent="0.3">
      <c r="A3" t="s">
        <v>54</v>
      </c>
      <c r="B3">
        <v>0.36200395866071</v>
      </c>
      <c r="C3">
        <v>0.151104885120597</v>
      </c>
      <c r="D3">
        <v>2.3957131390675701</v>
      </c>
      <c r="E3">
        <v>1.65880668424612E-2</v>
      </c>
      <c r="F3" t="s">
        <v>78</v>
      </c>
      <c r="G3">
        <v>1.4362046273959299</v>
      </c>
      <c r="H3">
        <v>1.0680540883994001</v>
      </c>
      <c r="I3">
        <v>1.9312540012319399</v>
      </c>
      <c r="J3" t="str">
        <f t="shared" ref="J3:J10" si="0">_xlfn.CONCAT(ROUND(G3,2), " (", ROUND(H3,2), "-", ROUND(I3,2), ")")</f>
        <v>1.44 (1.07-1.93)</v>
      </c>
      <c r="K3" t="s">
        <v>79</v>
      </c>
      <c r="L3">
        <v>1.13351837900395</v>
      </c>
      <c r="M3">
        <v>1.21570043356344</v>
      </c>
      <c r="N3">
        <v>1.21570043356344</v>
      </c>
      <c r="O3">
        <v>15.3678187469375</v>
      </c>
      <c r="P3">
        <v>3</v>
      </c>
      <c r="Q3">
        <v>1.5278335768426001E-3</v>
      </c>
      <c r="R3" t="s">
        <v>80</v>
      </c>
    </row>
    <row r="4" spans="1:18" x14ac:dyDescent="0.3">
      <c r="A4" t="s">
        <v>55</v>
      </c>
      <c r="B4">
        <v>0.14394973610810699</v>
      </c>
      <c r="C4">
        <v>0.380437844200674</v>
      </c>
      <c r="D4">
        <v>0.37837911843537703</v>
      </c>
      <c r="E4">
        <v>0.70514897820638001</v>
      </c>
      <c r="F4" t="s">
        <v>81</v>
      </c>
      <c r="G4">
        <v>1.1548260610137899</v>
      </c>
      <c r="H4">
        <v>0.54787482562124901</v>
      </c>
      <c r="I4">
        <v>2.4341750502670099</v>
      </c>
      <c r="J4" t="str">
        <f t="shared" si="0"/>
        <v>1.15 (0.55-2.43)</v>
      </c>
      <c r="K4" t="s">
        <v>79</v>
      </c>
      <c r="L4">
        <v>1.13351837900395</v>
      </c>
      <c r="M4">
        <v>1.21570043356344</v>
      </c>
      <c r="N4">
        <v>1.1109949458078601</v>
      </c>
      <c r="O4">
        <v>15.3678187469375</v>
      </c>
      <c r="P4">
        <v>3</v>
      </c>
      <c r="Q4">
        <v>1.5278335768426001E-3</v>
      </c>
      <c r="R4" t="s">
        <v>80</v>
      </c>
    </row>
    <row r="5" spans="1:18" x14ac:dyDescent="0.3">
      <c r="A5" t="s">
        <v>56</v>
      </c>
      <c r="B5">
        <v>-0.67637696112239498</v>
      </c>
      <c r="C5">
        <v>0.29296450650794997</v>
      </c>
      <c r="D5">
        <v>-2.30873346803887</v>
      </c>
      <c r="E5">
        <v>2.0958375957725098E-2</v>
      </c>
      <c r="F5" t="s">
        <v>82</v>
      </c>
      <c r="G5">
        <v>0.50845581447555499</v>
      </c>
      <c r="H5">
        <v>0.28633655511342698</v>
      </c>
      <c r="I5">
        <v>0.90287918415302904</v>
      </c>
      <c r="J5" t="str">
        <f t="shared" si="0"/>
        <v>0.51 (0.29-0.9)</v>
      </c>
      <c r="K5" t="s">
        <v>79</v>
      </c>
      <c r="L5">
        <v>1.13351837900395</v>
      </c>
      <c r="M5">
        <v>1.21570043356344</v>
      </c>
      <c r="N5">
        <v>1.07385975764055</v>
      </c>
      <c r="O5">
        <v>15.3678187469375</v>
      </c>
      <c r="P5">
        <v>3</v>
      </c>
      <c r="Q5">
        <v>1.5278335768426001E-3</v>
      </c>
      <c r="R5" t="s">
        <v>80</v>
      </c>
    </row>
    <row r="6" spans="1:18" x14ac:dyDescent="0.3">
      <c r="A6" t="s">
        <v>57</v>
      </c>
      <c r="B6">
        <v>-0.14774040365966601</v>
      </c>
      <c r="C6">
        <v>2.0354046910680899E-2</v>
      </c>
      <c r="D6">
        <v>-7.2585272259610596</v>
      </c>
      <c r="E6">
        <v>3.91327631161167E-13</v>
      </c>
      <c r="F6" t="s">
        <v>83</v>
      </c>
      <c r="G6">
        <v>0.86265502796551796</v>
      </c>
      <c r="H6">
        <v>0.828917757532596</v>
      </c>
      <c r="I6">
        <v>0.89776541823562706</v>
      </c>
      <c r="J6" t="str">
        <f t="shared" si="0"/>
        <v>0.86 (0.83-0.9)</v>
      </c>
      <c r="K6" t="s">
        <v>57</v>
      </c>
      <c r="L6">
        <v>1.68616398958747</v>
      </c>
      <c r="M6">
        <v>1.68616398958747</v>
      </c>
      <c r="N6">
        <v>1.68616398958747</v>
      </c>
      <c r="O6">
        <v>55.549529393716703</v>
      </c>
      <c r="P6">
        <v>1</v>
      </c>
      <c r="Q6">
        <v>9.11336466938832E-14</v>
      </c>
      <c r="R6" t="s">
        <v>84</v>
      </c>
    </row>
    <row r="7" spans="1:18" x14ac:dyDescent="0.3">
      <c r="A7" t="s">
        <v>58</v>
      </c>
      <c r="B7">
        <v>0.80334068831832695</v>
      </c>
      <c r="C7">
        <v>0.219849190680724</v>
      </c>
      <c r="D7">
        <v>3.6540534255819899</v>
      </c>
      <c r="E7">
        <v>2.5813251887292201E-4</v>
      </c>
      <c r="F7" t="s">
        <v>85</v>
      </c>
      <c r="G7">
        <v>2.2329881996540402</v>
      </c>
      <c r="H7">
        <v>1.45126599366733</v>
      </c>
      <c r="I7">
        <v>3.4357838752867398</v>
      </c>
      <c r="J7" t="str">
        <f t="shared" si="0"/>
        <v>2.23 (1.45-3.44)</v>
      </c>
      <c r="K7" t="s">
        <v>86</v>
      </c>
      <c r="L7">
        <v>1.3636154146348101</v>
      </c>
      <c r="M7">
        <v>1.3636154146348101</v>
      </c>
      <c r="N7">
        <v>1.3636154146348101</v>
      </c>
      <c r="O7">
        <v>13.689703087896101</v>
      </c>
      <c r="P7">
        <v>1</v>
      </c>
      <c r="Q7">
        <v>2.1563355680613699E-4</v>
      </c>
      <c r="R7" t="s">
        <v>87</v>
      </c>
    </row>
    <row r="8" spans="1:18" x14ac:dyDescent="0.3">
      <c r="A8" t="s">
        <v>59</v>
      </c>
      <c r="B8">
        <v>1.56460487945917</v>
      </c>
      <c r="C8">
        <v>0.165814916869923</v>
      </c>
      <c r="D8">
        <v>9.4358511827169202</v>
      </c>
      <c r="E8">
        <v>3.8783240096356298E-21</v>
      </c>
      <c r="F8" t="s">
        <v>88</v>
      </c>
      <c r="G8">
        <v>4.7807855760749796</v>
      </c>
      <c r="H8">
        <v>3.4542578944883302</v>
      </c>
      <c r="I8">
        <v>6.6167354675155696</v>
      </c>
      <c r="J8" t="str">
        <f t="shared" si="0"/>
        <v>4.78 (3.45-6.62)</v>
      </c>
      <c r="K8" t="s">
        <v>89</v>
      </c>
      <c r="L8">
        <v>1.7594528580178901</v>
      </c>
      <c r="M8">
        <v>1.7594528580178901</v>
      </c>
      <c r="N8">
        <v>1.7594528580178901</v>
      </c>
      <c r="O8">
        <v>90.375901654135504</v>
      </c>
      <c r="P8">
        <v>1</v>
      </c>
      <c r="Q8">
        <v>1.9695037789213101E-21</v>
      </c>
      <c r="R8" t="s">
        <v>88</v>
      </c>
    </row>
    <row r="9" spans="1:18" x14ac:dyDescent="0.3">
      <c r="A9" t="s">
        <v>60</v>
      </c>
      <c r="B9">
        <v>1.3938570623001401</v>
      </c>
      <c r="C9">
        <v>0.32505749115222798</v>
      </c>
      <c r="D9">
        <v>4.2880324257698401</v>
      </c>
      <c r="E9">
        <v>1.80262783120963E-5</v>
      </c>
      <c r="F9" t="s">
        <v>90</v>
      </c>
      <c r="G9">
        <v>4.0303654825283504</v>
      </c>
      <c r="H9">
        <v>2.1313261244776198</v>
      </c>
      <c r="I9">
        <v>7.6214736619611596</v>
      </c>
      <c r="J9" t="str">
        <f t="shared" si="0"/>
        <v>4.03 (2.13-7.62)</v>
      </c>
      <c r="K9" t="s">
        <v>91</v>
      </c>
      <c r="L9">
        <v>1.5198248995388099</v>
      </c>
      <c r="M9">
        <v>1.7019618330192701</v>
      </c>
      <c r="N9">
        <v>1.33768796605836</v>
      </c>
      <c r="O9">
        <v>80.357808866481705</v>
      </c>
      <c r="P9">
        <v>2</v>
      </c>
      <c r="Q9">
        <v>3.55241353200459E-18</v>
      </c>
      <c r="R9" t="s">
        <v>88</v>
      </c>
    </row>
    <row r="10" spans="1:18" x14ac:dyDescent="0.3">
      <c r="A10" t="s">
        <v>61</v>
      </c>
      <c r="B10">
        <v>2.1713782908693902</v>
      </c>
      <c r="C10">
        <v>0.30672832819742701</v>
      </c>
      <c r="D10">
        <v>7.0791579754960701</v>
      </c>
      <c r="E10">
        <v>1.4503297930634199E-12</v>
      </c>
      <c r="F10" t="s">
        <v>92</v>
      </c>
      <c r="G10">
        <v>8.7703638264826296</v>
      </c>
      <c r="H10">
        <v>4.80756523399487</v>
      </c>
      <c r="I10">
        <v>15.9996334745433</v>
      </c>
      <c r="J10" t="str">
        <f t="shared" si="0"/>
        <v>8.77 (4.81-16)</v>
      </c>
      <c r="K10" t="s">
        <v>91</v>
      </c>
      <c r="L10">
        <v>1.5198248995388099</v>
      </c>
      <c r="M10">
        <v>1.7019618330192701</v>
      </c>
      <c r="N10">
        <v>1.7019618330192701</v>
      </c>
      <c r="O10">
        <v>80.357808866481705</v>
      </c>
      <c r="P10">
        <v>2</v>
      </c>
      <c r="Q10">
        <v>3.55241353200459E-18</v>
      </c>
      <c r="R10" t="s">
        <v>88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ColWidth="11.5546875" defaultRowHeight="14.4" x14ac:dyDescent="0.3"/>
  <sheetData/>
  <phoneticPr fontId="1" type="noConversion"/>
  <pageMargins left="0.7" right="0.7" top="0.75" bottom="0.75" header="0.3" footer="0.3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workbookViewId="0"/>
  </sheetViews>
  <sheetFormatPr defaultColWidth="11.5546875" defaultRowHeight="14.4" x14ac:dyDescent="0.3"/>
  <sheetData>
    <row r="1" spans="1:1" x14ac:dyDescent="0.3">
      <c r="A1" t="s">
        <v>93</v>
      </c>
    </row>
    <row r="2" spans="1:1" x14ac:dyDescent="0.3">
      <c r="A2" t="s">
        <v>94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Model_Info</vt:lpstr>
      <vt:lpstr>Split_Info</vt:lpstr>
      <vt:lpstr>Train_Metrics</vt:lpstr>
      <vt:lpstr>Calibration_Stats_Train</vt:lpstr>
      <vt:lpstr>Coefficients</vt:lpstr>
      <vt:lpstr>Variable_Summary</vt:lpstr>
      <vt:lpstr>Calibration_Plot_Train</vt:lpstr>
      <vt:lpstr>Specs_JSON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piggypiggy00700</dc:creator>
  <cp:lastModifiedBy>승훈 전</cp:lastModifiedBy>
  <dcterms:created xsi:type="dcterms:W3CDTF">2025-10-13T05:43:32Z</dcterms:created>
  <dcterms:modified xsi:type="dcterms:W3CDTF">2025-10-22T08:17:44Z</dcterms:modified>
</cp:coreProperties>
</file>