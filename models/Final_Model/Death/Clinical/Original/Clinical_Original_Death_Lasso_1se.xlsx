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Clinical\Original\"/>
    </mc:Choice>
  </mc:AlternateContent>
  <xr:revisionPtr revIDLastSave="0" documentId="13_ncr:1_{5889B06D-1A51-4725-8CE6-5C73B5372E7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/>
  <c r="J3" i="6"/>
  <c r="J5" i="6"/>
  <c r="J6" i="6"/>
  <c r="J7" i="6"/>
  <c r="J8" i="6"/>
  <c r="J9" i="6"/>
  <c r="J10" i="6"/>
  <c r="J11" i="6"/>
  <c r="J12" i="6"/>
  <c r="J13" i="6"/>
  <c r="J2" i="6"/>
</calcChain>
</file>

<file path=xl/sharedStrings.xml><?xml version="1.0" encoding="utf-8"?>
<sst xmlns="http://schemas.openxmlformats.org/spreadsheetml/2006/main" count="173" uniqueCount="105">
  <si>
    <t>Item</t>
  </si>
  <si>
    <t>Value</t>
  </si>
  <si>
    <t>Formula</t>
  </si>
  <si>
    <t>`14d_death` ~ Age + arr_status + InjuryHx.InjCause + arr_pp_size + arr_pp_prompt + head_neck_AIS</t>
  </si>
  <si>
    <t>N_total</t>
  </si>
  <si>
    <t>2889</t>
  </si>
  <si>
    <t>Pos_Level</t>
  </si>
  <si>
    <t>1</t>
  </si>
  <si>
    <t>Penalty</t>
  </si>
  <si>
    <t>lasso</t>
  </si>
  <si>
    <t>Alpha</t>
  </si>
  <si>
    <t>Lambda_Chosen</t>
  </si>
  <si>
    <t>0.0085549657916688</t>
  </si>
  <si>
    <t>Use_CV</t>
  </si>
  <si>
    <t>TRUE</t>
  </si>
  <si>
    <t>Choose</t>
  </si>
  <si>
    <t>lambda.1se</t>
  </si>
  <si>
    <t>nfolds</t>
  </si>
  <si>
    <t>10</t>
  </si>
  <si>
    <t>Threshold</t>
  </si>
  <si>
    <t>0.5</t>
  </si>
  <si>
    <t>Standardize</t>
  </si>
  <si>
    <t>Train_Test</t>
  </si>
  <si>
    <t>FALSE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</si>
  <si>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</si>
  <si>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</si>
  <si>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</si>
  <si>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</si>
  <si>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</si>
  <si>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</si>
  <si>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</si>
  <si>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</si>
  <si>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</si>
  <si>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</si>
  <si>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</si>
  <si>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</si>
  <si>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</si>
  <si>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</si>
  <si>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</si>
  <si>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</si>
  <si>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</si>
  <si>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</si>
  <si>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</si>
  <si>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</si>
  <si>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</si>
  <si>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</si>
  <si>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</si>
  <si>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</si>
  <si>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</si>
  <si>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</si>
  <si>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</si>
  <si>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lambda.min</t>
  </si>
  <si>
    <t>(Intercept)</t>
  </si>
  <si>
    <t>Age</t>
  </si>
  <si>
    <t>arr_statusComa</t>
  </si>
  <si>
    <t>arr_statusDrowsy</t>
  </si>
  <si>
    <t>arr_statusSemicoma</t>
  </si>
  <si>
    <t>arr_statusStupor</t>
  </si>
  <si>
    <t>InjuryHx.InjCause1</t>
  </si>
  <si>
    <t>InjuryHx.InjCause3</t>
  </si>
  <si>
    <t>InjuryHx.InjCause88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</si>
  <si>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</si>
  <si>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</si>
  <si>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</si>
  <si>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</si>
  <si>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</si>
  <si>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</si>
  <si>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</si>
  <si>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</si>
  <si>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</si>
  <si>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</si>
  <si>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</si>
  <si>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</si>
  <si>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</si>
  <si>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</si>
  <si>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</si>
  <si>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</si>
  <si>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</si>
  <si>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</si>
  <si>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5.46e-13</t>
  </si>
  <si>
    <t>5.16e-14</t>
  </si>
  <si>
    <t>2.8e-12</t>
  </si>
  <si>
    <t>arr_status</t>
  </si>
  <si>
    <t>&lt; 1e-16</t>
  </si>
  <si>
    <t>0.126</t>
  </si>
  <si>
    <t>7.57e-08</t>
  </si>
  <si>
    <t>0.000361</t>
  </si>
  <si>
    <t>0.0422</t>
  </si>
  <si>
    <t>InjuryHx.InjCause</t>
  </si>
  <si>
    <t>0.00541</t>
  </si>
  <si>
    <t>0.628</t>
  </si>
  <si>
    <t>0.0252</t>
  </si>
  <si>
    <t>0.00121</t>
  </si>
  <si>
    <t>arr_pp_size</t>
  </si>
  <si>
    <t>0.0011</t>
  </si>
  <si>
    <t>1.71e-16</t>
  </si>
  <si>
    <t>arr_pp_prompt</t>
  </si>
  <si>
    <t>1.48e-16</t>
  </si>
  <si>
    <t>9.79e-05</t>
  </si>
  <si>
    <t>head_neck_AIS</t>
  </si>
  <si>
    <t>2.32e-15</t>
  </si>
  <si>
    <t>6.46e-11</t>
  </si>
  <si>
    <t>JSON</t>
  </si>
  <si>
    <t>{"formula":"`14d_death` ~ Age + arr_status + InjuryHx.InjCause + arr_pp_size + arr_pp_prompt + head_neck_AIS","penalty":"lasso","alpha":1,"lambda":0.0086,"x_names":["Age","arr_statusComa","arr_statusDrowsy","arr_statusSemicoma","arr_statusStupor","InjuryHx.InjCause1","InjuryHx.InjCause3","InjuryHx.InjCause88","arr_pp_sizebilaterally mydriatic","arr_pp_promptbilateral absence","head_neck_AIS4","head_neck_AIS5"],"train_test":false,"test_prop":{},"split_seed":{},"standardize":true,"threshold":0.5,"family":"binomial","link":"logit"}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</si>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</sst>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14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</row>
    <row r="15" spans="1:2" x14ac:dyDescent="0.3">
      <c r="A15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29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30</v>
      </c>
      <c r="B1" t="s">
        <v>1</v>
      </c>
    </row>
    <row r="2" spans="1:2" x14ac:dyDescent="0.3">
      <c r="A2" t="s">
        <v>31</v>
      </c>
      <c r="B2">
        <v>0.89810000000000001</v>
      </c>
    </row>
    <row r="3" spans="1:2" x14ac:dyDescent="0.3">
      <c r="A3" t="s">
        <v>32</v>
      </c>
      <c r="B3">
        <v>0.90310000000000001</v>
      </c>
    </row>
    <row r="4" spans="1:2" x14ac:dyDescent="0.3">
      <c r="A4" t="s">
        <v>33</v>
      </c>
      <c r="B4">
        <v>0.43430000000000002</v>
      </c>
    </row>
    <row r="5" spans="1:2" x14ac:dyDescent="0.3">
      <c r="A5" t="s">
        <v>34</v>
      </c>
      <c r="B5">
        <v>0.70130000000000003</v>
      </c>
    </row>
    <row r="6" spans="1:2" x14ac:dyDescent="0.3">
      <c r="A6" t="s">
        <v>35</v>
      </c>
      <c r="B6">
        <v>0.53639999999999999</v>
      </c>
    </row>
    <row r="7" spans="1:2" x14ac:dyDescent="0.3">
      <c r="A7" t="s">
        <v>36</v>
      </c>
      <c r="B7">
        <v>0.35859999999999997</v>
      </c>
    </row>
    <row r="8" spans="1:2" x14ac:dyDescent="0.3">
      <c r="A8" t="s">
        <v>37</v>
      </c>
      <c r="B8">
        <v>1447.7349999999999</v>
      </c>
    </row>
    <row r="9" spans="1:2" x14ac:dyDescent="0.3">
      <c r="A9" t="s">
        <v>38</v>
      </c>
      <c r="B9">
        <v>7.3599999999999999E-2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46</v>
      </c>
      <c r="B2">
        <v>-9.9642258877091204E-8</v>
      </c>
      <c r="C2">
        <v>6.6307226783626105E-2</v>
      </c>
      <c r="D2">
        <v>-1.50273603211071E-6</v>
      </c>
      <c r="E2">
        <v>0.99999880099012095</v>
      </c>
      <c r="F2">
        <v>-0.129962264138166</v>
      </c>
      <c r="G2">
        <v>0.129962064853648</v>
      </c>
    </row>
    <row r="3" spans="1:7" x14ac:dyDescent="0.3">
      <c r="A3" t="s">
        <v>47</v>
      </c>
      <c r="B3">
        <v>1.1479630682647699</v>
      </c>
      <c r="C3">
        <v>4.9569952803813003E-2</v>
      </c>
      <c r="D3">
        <v>23.158445859493899</v>
      </c>
      <c r="E3">
        <v>1.1950963302644101E-118</v>
      </c>
      <c r="F3">
        <v>1.0508059607693001</v>
      </c>
      <c r="G3">
        <v>1.2451201757602499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51</v>
      </c>
      <c r="B2" t="s">
        <v>52</v>
      </c>
      <c r="C2">
        <v>-7.2488459717805904</v>
      </c>
    </row>
    <row r="3" spans="1:3" x14ac:dyDescent="0.3">
      <c r="A3" t="s">
        <v>51</v>
      </c>
      <c r="B3" t="s">
        <v>53</v>
      </c>
      <c r="C3">
        <v>3.23860078265387E-2</v>
      </c>
    </row>
    <row r="4" spans="1:3" x14ac:dyDescent="0.3">
      <c r="A4" t="s">
        <v>51</v>
      </c>
      <c r="B4" t="s">
        <v>54</v>
      </c>
      <c r="C4">
        <v>2.5604920322081801</v>
      </c>
    </row>
    <row r="5" spans="1:3" x14ac:dyDescent="0.3">
      <c r="A5" t="s">
        <v>51</v>
      </c>
      <c r="B5" t="s">
        <v>55</v>
      </c>
      <c r="C5">
        <v>0.48255951309086098</v>
      </c>
    </row>
    <row r="6" spans="1:3" x14ac:dyDescent="0.3">
      <c r="A6" t="s">
        <v>51</v>
      </c>
      <c r="B6" t="s">
        <v>56</v>
      </c>
      <c r="C6">
        <v>1.84111907198516</v>
      </c>
    </row>
    <row r="7" spans="1:3" x14ac:dyDescent="0.3">
      <c r="A7" t="s">
        <v>51</v>
      </c>
      <c r="B7" t="s">
        <v>57</v>
      </c>
      <c r="C7">
        <v>1.2184828055543</v>
      </c>
    </row>
    <row r="8" spans="1:3" x14ac:dyDescent="0.3">
      <c r="A8" t="s">
        <v>51</v>
      </c>
      <c r="B8" t="s">
        <v>58</v>
      </c>
      <c r="C8">
        <v>0.30422045916252799</v>
      </c>
    </row>
    <row r="9" spans="1:3" x14ac:dyDescent="0.3">
      <c r="A9" t="s">
        <v>51</v>
      </c>
      <c r="B9" t="s">
        <v>59</v>
      </c>
      <c r="C9">
        <v>0.156018099429138</v>
      </c>
    </row>
    <row r="10" spans="1:3" x14ac:dyDescent="0.3">
      <c r="A10" t="s">
        <v>51</v>
      </c>
      <c r="B10" t="s">
        <v>60</v>
      </c>
      <c r="C10">
        <v>-0.64914884202763901</v>
      </c>
    </row>
    <row r="11" spans="1:3" x14ac:dyDescent="0.3">
      <c r="A11" t="s">
        <v>51</v>
      </c>
      <c r="B11" t="s">
        <v>61</v>
      </c>
      <c r="C11">
        <v>0.72344201617415704</v>
      </c>
    </row>
    <row r="12" spans="1:3" x14ac:dyDescent="0.3">
      <c r="A12" t="s">
        <v>51</v>
      </c>
      <c r="B12" t="s">
        <v>62</v>
      </c>
      <c r="C12">
        <v>1.3934194968409599</v>
      </c>
    </row>
    <row r="13" spans="1:3" x14ac:dyDescent="0.3">
      <c r="A13" t="s">
        <v>51</v>
      </c>
      <c r="B13" t="s">
        <v>63</v>
      </c>
      <c r="C13">
        <v>1.2442649919484601</v>
      </c>
    </row>
    <row r="14" spans="1:3" x14ac:dyDescent="0.3">
      <c r="A14" t="s">
        <v>51</v>
      </c>
      <c r="B14" t="s">
        <v>64</v>
      </c>
      <c r="C14">
        <v>2.0016015121178401</v>
      </c>
    </row>
    <row r="15" spans="1:3" x14ac:dyDescent="0.3">
      <c r="A15" t="s">
        <v>16</v>
      </c>
      <c r="B15" t="s">
        <v>52</v>
      </c>
      <c r="C15">
        <v>-4.8646416827088199</v>
      </c>
    </row>
    <row r="16" spans="1:3" x14ac:dyDescent="0.3">
      <c r="A16" t="s">
        <v>16</v>
      </c>
      <c r="B16" t="s">
        <v>53</v>
      </c>
      <c r="C16">
        <v>2.01522082933107E-2</v>
      </c>
    </row>
    <row r="17" spans="1:3" x14ac:dyDescent="0.3">
      <c r="A17" t="s">
        <v>16</v>
      </c>
      <c r="B17" t="s">
        <v>54</v>
      </c>
      <c r="C17">
        <v>1.6853664200901599</v>
      </c>
    </row>
    <row r="18" spans="1:3" x14ac:dyDescent="0.3">
      <c r="A18" t="s">
        <v>16</v>
      </c>
      <c r="B18" t="s">
        <v>55</v>
      </c>
      <c r="C18">
        <v>0</v>
      </c>
    </row>
    <row r="19" spans="1:3" x14ac:dyDescent="0.3">
      <c r="A19" t="s">
        <v>16</v>
      </c>
      <c r="B19" t="s">
        <v>56</v>
      </c>
      <c r="C19">
        <v>0.96675683347003005</v>
      </c>
    </row>
    <row r="20" spans="1:3" x14ac:dyDescent="0.3">
      <c r="A20" t="s">
        <v>16</v>
      </c>
      <c r="B20" t="s">
        <v>57</v>
      </c>
      <c r="C20">
        <v>0.197685902278537</v>
      </c>
    </row>
    <row r="21" spans="1:3" x14ac:dyDescent="0.3">
      <c r="A21" t="s">
        <v>16</v>
      </c>
      <c r="B21" t="s">
        <v>58</v>
      </c>
      <c r="C21">
        <v>9.5391671535011296E-2</v>
      </c>
    </row>
    <row r="22" spans="1:3" x14ac:dyDescent="0.3">
      <c r="A22" t="s">
        <v>16</v>
      </c>
      <c r="B22" t="s">
        <v>59</v>
      </c>
      <c r="C22">
        <v>0</v>
      </c>
    </row>
    <row r="23" spans="1:3" x14ac:dyDescent="0.3">
      <c r="A23" t="s">
        <v>16</v>
      </c>
      <c r="B23" t="s">
        <v>60</v>
      </c>
      <c r="C23">
        <v>-0.18878142524114999</v>
      </c>
    </row>
    <row r="24" spans="1:3" x14ac:dyDescent="0.3">
      <c r="A24" t="s">
        <v>16</v>
      </c>
      <c r="B24" t="s">
        <v>61</v>
      </c>
      <c r="C24">
        <v>0.542004770865816</v>
      </c>
    </row>
    <row r="25" spans="1:3" x14ac:dyDescent="0.3">
      <c r="A25" t="s">
        <v>16</v>
      </c>
      <c r="B25" t="s">
        <v>62</v>
      </c>
      <c r="C25">
        <v>1.46333740477596</v>
      </c>
    </row>
    <row r="26" spans="1:3" x14ac:dyDescent="0.3">
      <c r="A26" t="s">
        <v>16</v>
      </c>
      <c r="B26" t="s">
        <v>63</v>
      </c>
      <c r="C26">
        <v>0.19223429056181501</v>
      </c>
    </row>
    <row r="27" spans="1:3" x14ac:dyDescent="0.3">
      <c r="A27" t="s">
        <v>16</v>
      </c>
      <c r="B27" t="s">
        <v>64</v>
      </c>
      <c r="C27">
        <v>1.1216186419303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"/>
  <sheetViews>
    <sheetView tabSelected="1" workbookViewId="0">
      <pane xSplit="1" topLeftCell="D1" activePane="topRight" state="frozen"/>
      <selection pane="topRight" activeCell="R9" sqref="R9"/>
    </sheetView>
  </sheetViews>
  <sheetFormatPr defaultColWidth="11.5546875" defaultRowHeight="14.4" x14ac:dyDescent="0.3"/>
  <sheetData>
    <row r="1" spans="1:18" x14ac:dyDescent="0.3">
      <c r="A1" t="s">
        <v>65</v>
      </c>
      <c r="B1" t="s">
        <v>66</v>
      </c>
      <c r="C1" t="s">
        <v>67</v>
      </c>
      <c r="D1" t="s">
        <v>68</v>
      </c>
      <c r="E1" t="s">
        <v>43</v>
      </c>
      <c r="F1" t="s">
        <v>69</v>
      </c>
      <c r="G1" t="s">
        <v>70</v>
      </c>
      <c r="H1" t="s">
        <v>44</v>
      </c>
      <c r="I1" t="s">
        <v>45</v>
      </c>
      <c r="J1" t="s">
        <v>104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1:18" x14ac:dyDescent="0.3">
      <c r="A2" t="s">
        <v>53</v>
      </c>
      <c r="B2">
        <v>3.2812197780426197E-2</v>
      </c>
      <c r="C2">
        <v>4.5487707087022797E-3</v>
      </c>
      <c r="D2">
        <v>7.2134209177993904</v>
      </c>
      <c r="E2">
        <v>5.4563417934570296E-13</v>
      </c>
      <c r="F2" t="s">
        <v>79</v>
      </c>
      <c r="G2">
        <v>1.03335645438135</v>
      </c>
      <c r="H2">
        <v>1.02418441911248</v>
      </c>
      <c r="I2">
        <v>1.0426106293795501</v>
      </c>
      <c r="J2" t="str">
        <f>_xlfn.CONCAT(ROUND(G2,2), " (", ROUND(H2,2), "-", ROUND(I2,2), ")")</f>
        <v>1.03 (1.02-1.04)</v>
      </c>
      <c r="K2" t="s">
        <v>53</v>
      </c>
      <c r="L2">
        <v>1.1131329981422</v>
      </c>
      <c r="M2">
        <v>1.1131329981422</v>
      </c>
      <c r="N2">
        <v>1.1131329981422</v>
      </c>
      <c r="O2">
        <v>56.669367192925399</v>
      </c>
      <c r="P2">
        <v>1</v>
      </c>
      <c r="Q2">
        <v>5.1560527855211702E-14</v>
      </c>
      <c r="R2" t="s">
        <v>80</v>
      </c>
    </row>
    <row r="3" spans="1:18" x14ac:dyDescent="0.3">
      <c r="A3" t="s">
        <v>54</v>
      </c>
      <c r="B3">
        <v>2.6584592458801901</v>
      </c>
      <c r="C3">
        <v>0.38047355203307598</v>
      </c>
      <c r="D3">
        <v>6.9872379608900603</v>
      </c>
      <c r="E3">
        <v>2.8035051901842202E-12</v>
      </c>
      <c r="F3" t="s">
        <v>81</v>
      </c>
      <c r="G3">
        <v>14.2742789927857</v>
      </c>
      <c r="H3">
        <v>6.7715572585703798</v>
      </c>
      <c r="I3">
        <v>30.089835023694299</v>
      </c>
      <c r="J3" t="str">
        <f t="shared" ref="J3:J13" si="0">_xlfn.CONCAT(ROUND(G3,2), " (", ROUND(H3,2), "-", ROUND(I3,2), ")")</f>
        <v>14.27 (6.77-30.09)</v>
      </c>
      <c r="K3" t="s">
        <v>82</v>
      </c>
      <c r="L3">
        <v>1.7262494858806301</v>
      </c>
      <c r="M3">
        <v>1.9439790135789501</v>
      </c>
      <c r="N3">
        <v>1.90446693595745</v>
      </c>
      <c r="O3">
        <v>89.907268903001295</v>
      </c>
      <c r="P3">
        <v>4</v>
      </c>
      <c r="Q3">
        <v>1.37785806127157E-18</v>
      </c>
      <c r="R3" t="s">
        <v>83</v>
      </c>
    </row>
    <row r="4" spans="1:18" x14ac:dyDescent="0.3">
      <c r="A4" t="s">
        <v>55</v>
      </c>
      <c r="B4">
        <v>0.58867544243602199</v>
      </c>
      <c r="C4">
        <v>0.38492451334062899</v>
      </c>
      <c r="D4">
        <v>1.52932697719641</v>
      </c>
      <c r="E4">
        <v>0.126183405075106</v>
      </c>
      <c r="F4" t="s">
        <v>84</v>
      </c>
      <c r="G4">
        <v>1.80160051070465</v>
      </c>
      <c r="H4">
        <v>0.84723548231209</v>
      </c>
      <c r="I4">
        <v>3.8310062172014101</v>
      </c>
      <c r="J4" t="str">
        <f>_xlfn.CONCAT(ROUND(G4,2), " (", ROUND(H4,2), "-", ROUND(I4,2), ")")</f>
        <v>1.8 (0.85-3.83)</v>
      </c>
      <c r="K4" t="s">
        <v>82</v>
      </c>
      <c r="L4">
        <v>1.7262494858806301</v>
      </c>
      <c r="M4">
        <v>1.9439790135789501</v>
      </c>
      <c r="N4">
        <v>1.5233653016717299</v>
      </c>
      <c r="O4">
        <v>89.907268903001295</v>
      </c>
      <c r="P4">
        <v>4</v>
      </c>
      <c r="Q4">
        <v>1.37785806127157E-18</v>
      </c>
      <c r="R4" t="s">
        <v>83</v>
      </c>
    </row>
    <row r="5" spans="1:18" x14ac:dyDescent="0.3">
      <c r="A5" t="s">
        <v>56</v>
      </c>
      <c r="B5">
        <v>1.93770738290587</v>
      </c>
      <c r="C5">
        <v>0.36036526452078199</v>
      </c>
      <c r="D5">
        <v>5.3770648108458898</v>
      </c>
      <c r="E5">
        <v>7.5709926270718894E-8</v>
      </c>
      <c r="F5" t="s">
        <v>85</v>
      </c>
      <c r="G5">
        <v>6.9428154931620902</v>
      </c>
      <c r="H5">
        <v>3.4259933691314499</v>
      </c>
      <c r="I5">
        <v>14.069696516754099</v>
      </c>
      <c r="J5" t="str">
        <f t="shared" si="0"/>
        <v>6.94 (3.43-14.07)</v>
      </c>
      <c r="K5" t="s">
        <v>82</v>
      </c>
      <c r="L5">
        <v>1.7262494858806301</v>
      </c>
      <c r="M5">
        <v>1.9439790135789501</v>
      </c>
      <c r="N5">
        <v>1.9439790135789501</v>
      </c>
      <c r="O5">
        <v>89.907268903001295</v>
      </c>
      <c r="P5">
        <v>4</v>
      </c>
      <c r="Q5">
        <v>1.37785806127157E-18</v>
      </c>
      <c r="R5" t="s">
        <v>83</v>
      </c>
    </row>
    <row r="6" spans="1:18" x14ac:dyDescent="0.3">
      <c r="A6" t="s">
        <v>57</v>
      </c>
      <c r="B6">
        <v>1.3172731360040999</v>
      </c>
      <c r="C6">
        <v>0.36929405781493702</v>
      </c>
      <c r="D6">
        <v>3.5670033354942801</v>
      </c>
      <c r="E6">
        <v>3.6108688604303201E-4</v>
      </c>
      <c r="F6" t="s">
        <v>86</v>
      </c>
      <c r="G6">
        <v>3.7332274812863102</v>
      </c>
      <c r="H6">
        <v>1.8102352019908901</v>
      </c>
      <c r="I6">
        <v>7.6989926014605796</v>
      </c>
      <c r="J6" t="str">
        <f t="shared" si="0"/>
        <v>3.73 (1.81-7.7)</v>
      </c>
      <c r="K6" t="s">
        <v>82</v>
      </c>
      <c r="L6">
        <v>1.7262494858806301</v>
      </c>
      <c r="M6">
        <v>1.9439790135789501</v>
      </c>
      <c r="N6">
        <v>1.53318669231437</v>
      </c>
      <c r="O6">
        <v>89.907268903001295</v>
      </c>
      <c r="P6">
        <v>4</v>
      </c>
      <c r="Q6">
        <v>1.37785806127157E-18</v>
      </c>
      <c r="R6" t="s">
        <v>83</v>
      </c>
    </row>
    <row r="7" spans="1:18" x14ac:dyDescent="0.3">
      <c r="A7" t="s">
        <v>58</v>
      </c>
      <c r="B7">
        <v>0.310558787974405</v>
      </c>
      <c r="C7">
        <v>0.15290232139503801</v>
      </c>
      <c r="D7">
        <v>2.0310926946102201</v>
      </c>
      <c r="E7">
        <v>4.2245592395994402E-2</v>
      </c>
      <c r="F7" t="s">
        <v>87</v>
      </c>
      <c r="G7">
        <v>1.36418719259027</v>
      </c>
      <c r="H7">
        <v>1.0109295337356701</v>
      </c>
      <c r="I7">
        <v>1.8408866635346699</v>
      </c>
      <c r="J7" t="str">
        <f t="shared" si="0"/>
        <v>1.36 (1.01-1.84)</v>
      </c>
      <c r="K7" t="s">
        <v>88</v>
      </c>
      <c r="L7">
        <v>1.1370313210548399</v>
      </c>
      <c r="M7">
        <v>1.21633792953375</v>
      </c>
      <c r="N7">
        <v>1.21633792953375</v>
      </c>
      <c r="O7">
        <v>12.6680273593779</v>
      </c>
      <c r="P7">
        <v>3</v>
      </c>
      <c r="Q7">
        <v>5.4123892205402598E-3</v>
      </c>
      <c r="R7" t="s">
        <v>89</v>
      </c>
    </row>
    <row r="8" spans="1:18" x14ac:dyDescent="0.3">
      <c r="A8" t="s">
        <v>59</v>
      </c>
      <c r="B8">
        <v>0.18499507612118199</v>
      </c>
      <c r="C8">
        <v>0.38141854475082099</v>
      </c>
      <c r="D8">
        <v>0.48501856731176601</v>
      </c>
      <c r="E8">
        <v>0.62766317481932798</v>
      </c>
      <c r="F8" t="s">
        <v>90</v>
      </c>
      <c r="G8">
        <v>1.20321251564049</v>
      </c>
      <c r="H8">
        <v>0.56973424051471599</v>
      </c>
      <c r="I8">
        <v>2.54104502563511</v>
      </c>
      <c r="J8" t="str">
        <f t="shared" si="0"/>
        <v>1.2 (0.57-2.54)</v>
      </c>
      <c r="K8" t="s">
        <v>88</v>
      </c>
      <c r="L8">
        <v>1.1370313210548399</v>
      </c>
      <c r="M8">
        <v>1.21633792953375</v>
      </c>
      <c r="N8">
        <v>1.1183772253702799</v>
      </c>
      <c r="O8">
        <v>12.6680273593779</v>
      </c>
      <c r="P8">
        <v>3</v>
      </c>
      <c r="Q8">
        <v>5.4123892205402598E-3</v>
      </c>
      <c r="R8" t="s">
        <v>89</v>
      </c>
    </row>
    <row r="9" spans="1:18" x14ac:dyDescent="0.3">
      <c r="A9" t="s">
        <v>60</v>
      </c>
      <c r="B9">
        <v>-0.66148108333598798</v>
      </c>
      <c r="C9">
        <v>0.29544580595681602</v>
      </c>
      <c r="D9">
        <v>-2.23892527833911</v>
      </c>
      <c r="E9">
        <v>2.5160778410218999E-2</v>
      </c>
      <c r="F9" t="s">
        <v>91</v>
      </c>
      <c r="G9">
        <v>0.51608640119780802</v>
      </c>
      <c r="H9">
        <v>0.28922369387899899</v>
      </c>
      <c r="I9">
        <v>0.92089679766255494</v>
      </c>
      <c r="J9" t="str">
        <f t="shared" si="0"/>
        <v>0.52 (0.29-0.92)</v>
      </c>
      <c r="K9" t="s">
        <v>88</v>
      </c>
      <c r="L9">
        <v>1.1370313210548399</v>
      </c>
      <c r="M9">
        <v>1.21633792953375</v>
      </c>
      <c r="N9">
        <v>1.0763788082604799</v>
      </c>
      <c r="O9">
        <v>12.6680273593779</v>
      </c>
      <c r="P9">
        <v>3</v>
      </c>
      <c r="Q9">
        <v>5.4123892205402598E-3</v>
      </c>
      <c r="R9" t="s">
        <v>89</v>
      </c>
    </row>
    <row r="10" spans="1:18" x14ac:dyDescent="0.3">
      <c r="A10" t="s">
        <v>61</v>
      </c>
      <c r="B10">
        <v>0.72841947438132404</v>
      </c>
      <c r="C10">
        <v>0.22507966413820599</v>
      </c>
      <c r="D10">
        <v>3.2362740417723801</v>
      </c>
      <c r="E10">
        <v>1.2110106149112901E-3</v>
      </c>
      <c r="F10" t="s">
        <v>92</v>
      </c>
      <c r="G10">
        <v>2.0718034800871301</v>
      </c>
      <c r="H10">
        <v>1.3327751305039</v>
      </c>
      <c r="I10">
        <v>3.22062556680382</v>
      </c>
      <c r="J10" t="str">
        <f t="shared" si="0"/>
        <v>2.07 (1.33-3.22)</v>
      </c>
      <c r="K10" t="s">
        <v>93</v>
      </c>
      <c r="L10">
        <v>1.41694093412148</v>
      </c>
      <c r="M10">
        <v>1.41694093412148</v>
      </c>
      <c r="N10">
        <v>1.41694093412148</v>
      </c>
      <c r="O10">
        <v>10.649152509777901</v>
      </c>
      <c r="P10">
        <v>1</v>
      </c>
      <c r="Q10">
        <v>1.10121354993229E-3</v>
      </c>
      <c r="R10" t="s">
        <v>94</v>
      </c>
    </row>
    <row r="11" spans="1:18" x14ac:dyDescent="0.3">
      <c r="A11" t="s">
        <v>62</v>
      </c>
      <c r="B11">
        <v>1.3928966703674901</v>
      </c>
      <c r="C11">
        <v>0.16901664187805601</v>
      </c>
      <c r="D11">
        <v>8.2411806014490008</v>
      </c>
      <c r="E11">
        <v>1.70519607231203E-16</v>
      </c>
      <c r="F11" t="s">
        <v>95</v>
      </c>
      <c r="G11">
        <v>4.0264966101475599</v>
      </c>
      <c r="H11">
        <v>2.89106241520212</v>
      </c>
      <c r="I11">
        <v>5.6078605796534902</v>
      </c>
      <c r="J11" t="str">
        <f t="shared" si="0"/>
        <v>4.03 (2.89-5.61)</v>
      </c>
      <c r="K11" t="s">
        <v>96</v>
      </c>
      <c r="L11">
        <v>1.8725802977817201</v>
      </c>
      <c r="M11">
        <v>1.8725802977817201</v>
      </c>
      <c r="N11">
        <v>1.8725802977817201</v>
      </c>
      <c r="O11">
        <v>68.196958388399906</v>
      </c>
      <c r="P11">
        <v>1</v>
      </c>
      <c r="Q11">
        <v>1.4795378936418001E-16</v>
      </c>
      <c r="R11" t="s">
        <v>97</v>
      </c>
    </row>
    <row r="12" spans="1:18" x14ac:dyDescent="0.3">
      <c r="A12" t="s">
        <v>63</v>
      </c>
      <c r="B12">
        <v>1.2832308079130399</v>
      </c>
      <c r="C12">
        <v>0.32939833471829</v>
      </c>
      <c r="D12">
        <v>3.8956809208233998</v>
      </c>
      <c r="E12">
        <v>9.7923234192869596E-5</v>
      </c>
      <c r="F12" t="s">
        <v>98</v>
      </c>
      <c r="G12">
        <v>3.6082785689647099</v>
      </c>
      <c r="H12">
        <v>1.8919538381007299</v>
      </c>
      <c r="I12">
        <v>6.88160248366317</v>
      </c>
      <c r="J12" t="str">
        <f t="shared" si="0"/>
        <v>3.61 (1.89-6.88)</v>
      </c>
      <c r="K12" t="s">
        <v>99</v>
      </c>
      <c r="L12">
        <v>1.5618248130293899</v>
      </c>
      <c r="M12">
        <v>1.7604839454902801</v>
      </c>
      <c r="N12">
        <v>1.3631656805685</v>
      </c>
      <c r="O12">
        <v>67.394780516116697</v>
      </c>
      <c r="P12">
        <v>2</v>
      </c>
      <c r="Q12">
        <v>2.31958000474489E-15</v>
      </c>
      <c r="R12" t="s">
        <v>100</v>
      </c>
    </row>
    <row r="13" spans="1:18" x14ac:dyDescent="0.3">
      <c r="A13" t="s">
        <v>64</v>
      </c>
      <c r="B13">
        <v>2.0351050304074301</v>
      </c>
      <c r="C13">
        <v>0.311531322517549</v>
      </c>
      <c r="D13">
        <v>6.5325855967269204</v>
      </c>
      <c r="E13">
        <v>6.4643828640519496E-11</v>
      </c>
      <c r="F13" t="s">
        <v>101</v>
      </c>
      <c r="G13">
        <v>7.6530558868460599</v>
      </c>
      <c r="H13">
        <v>4.1557945533679899</v>
      </c>
      <c r="I13">
        <v>14.093397461075799</v>
      </c>
      <c r="J13" t="str">
        <f t="shared" si="0"/>
        <v>7.65 (4.16-14.09)</v>
      </c>
      <c r="K13" t="s">
        <v>99</v>
      </c>
      <c r="L13">
        <v>1.5618248130293899</v>
      </c>
      <c r="M13">
        <v>1.7604839454902801</v>
      </c>
      <c r="N13">
        <v>1.7604839454902801</v>
      </c>
      <c r="O13">
        <v>67.394780516116697</v>
      </c>
      <c r="P13">
        <v>2</v>
      </c>
      <c r="Q13">
        <v>2.31958000474489E-15</v>
      </c>
      <c r="R13" t="s">
        <v>100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102</v>
      </c>
    </row>
    <row r="2" spans="1:1" x14ac:dyDescent="0.3">
      <c r="A2" t="s">
        <v>103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2025-10-13T05:42:21Z</dcterms:created>
  <dcterms:modified xsi:type="dcterms:W3CDTF">2025-10-15T01:36:29Z</dcterms:modified>
</cp:coreProperties>
</file>