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3Month\Full\Original\"/>
    </mc:Choice>
  </mc:AlternateContent>
  <xr:revisionPtr revIDLastSave="0" documentId="13_ncr:1_{2E5CB77F-0017-408A-A66B-069D56BB23D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2" i="6"/>
</calcChain>
</file>

<file path=xl/sharedStrings.xml><?xml version="1.0" encoding="utf-8"?>
<sst xmlns="http://schemas.openxmlformats.org/spreadsheetml/2006/main" count="277" uniqueCount="167">
  <si>
    <t>Item</t>
  </si>
  <si>
    <t>Value</t>
  </si>
  <si>
    <t>Formula</t>
  </si>
  <si>
    <t>GOSE_3_Unfav ~ Age + InjuryHx.InjCause + arr_status + Upper_Lower_Extremities_imputed + arr_pp_prompt + head_neck_AIS + EDH + contusion + SAH + IVH + MidlineShift + basal_cistern_compression + ns(Alk.Phosphatase, df = 4) + ns(CRP, df = 4) + ns(Sodium, df = 4) + ns(aPTT, df = 4)</t>
  </si>
  <si>
    <t>N_total</t>
  </si>
  <si>
    <t>2310</t>
  </si>
  <si>
    <t>Pos_Level</t>
  </si>
  <si>
    <t>1</t>
  </si>
  <si>
    <t>Penalty</t>
  </si>
  <si>
    <t>lasso</t>
  </si>
  <si>
    <t>Alpha</t>
  </si>
  <si>
    <t>Lambda_Chosen</t>
  </si>
  <si>
    <t>0.02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</si>
  <si>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</si>
  <si>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</si>
  <si>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</si>
  <si>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</si>
  <si>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</si>
  <si>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</si>
  <si>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</si>
  <si>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</si>
  <si>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</si>
  <si>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</si>
  <si>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</si>
  <si>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</si>
  <si>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</si>
  <si>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</si>
  <si>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</si>
  <si>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</si>
  <si>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</si>
  <si>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</si>
  <si>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</si>
  <si>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</si>
  <si>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</si>
  <si>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</si>
  <si>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</si>
  <si>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</si>
  <si>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</si>
  <si>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</si>
  <si>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</si>
  <si>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</si>
  <si>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</si>
  <si>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</si>
  <si>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</si>
  <si>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</si>
  <si>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</si>
  <si>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</si>
  <si>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</si>
  <si>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</si>
  <si>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</t>
  </si>
  <si>
    <t>(Intercept)</t>
  </si>
  <si>
    <t>Age</t>
  </si>
  <si>
    <t>InjuryHx.InjCause1</t>
  </si>
  <si>
    <t>InjuryHx.InjCause3</t>
  </si>
  <si>
    <t>InjuryHx.InjCause88</t>
  </si>
  <si>
    <t>arr_statusComa</t>
  </si>
  <si>
    <t>arr_statusDrowsy</t>
  </si>
  <si>
    <t>arr_statusSemicoma</t>
  </si>
  <si>
    <t>arr_statusStupor</t>
  </si>
  <si>
    <t>Upper_Lower_Extremities_imputedBoth Bilateral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</si>
  <si>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</si>
  <si>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</si>
  <si>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</si>
  <si>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</si>
  <si>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</si>
  <si>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</si>
  <si>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</si>
  <si>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</si>
  <si>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</si>
  <si>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ns(Alk.Phosphatase, df = 4)1</t>
  </si>
  <si>
    <t>ns(Alk.Phosphatase, df = 4)2</t>
  </si>
  <si>
    <t>ns(Alk.Phosphatase, df = 4)3</t>
  </si>
  <si>
    <t>ns(Alk.Phosphatase, df = 4)4</t>
  </si>
  <si>
    <t>ns(CRP, df = 4)1</t>
  </si>
  <si>
    <t>ns(CRP, df = 4)2</t>
  </si>
  <si>
    <t>ns(CRP, df = 4)3</t>
  </si>
  <si>
    <t>ns(CRP, df = 4)4</t>
  </si>
  <si>
    <t>ns(Sodium, df = 4)1</t>
  </si>
  <si>
    <t>ns(Sodium, df = 4)2</t>
  </si>
  <si>
    <t>ns(Sodium, df = 4)3</t>
  </si>
  <si>
    <t>ns(Sodium, df = 4)4</t>
  </si>
  <si>
    <t>ns(aPTT, df = 4)1</t>
  </si>
  <si>
    <t>ns(aPTT, df = 4)2</t>
  </si>
  <si>
    <t>ns(aPTT, df = 4)3</t>
  </si>
  <si>
    <t>ns(aPTT,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</si>
  <si>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</si>
  <si>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</si>
  <si>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</si>
  <si>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</si>
  <si>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</si>
  <si>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</si>
  <si>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</si>
  <si>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</si>
  <si>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</si>
  <si>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</si>
  <si>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</si>
  <si>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</si>
  <si>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</si>
  <si>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</si>
  <si>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1.02e-14</t>
  </si>
  <si>
    <t>1.28e-15</t>
  </si>
  <si>
    <t>0.34</t>
  </si>
  <si>
    <t>InjuryHx.InjCause</t>
  </si>
  <si>
    <t>0.076</t>
  </si>
  <si>
    <t>0.121</t>
  </si>
  <si>
    <t>0.152</t>
  </si>
  <si>
    <t>1.37e-05</t>
  </si>
  <si>
    <t>arr_status</t>
  </si>
  <si>
    <t>2.67e-09</t>
  </si>
  <si>
    <t>0.000448</t>
  </si>
  <si>
    <t>1.53e-10</t>
  </si>
  <si>
    <t>1.48e-07</t>
  </si>
  <si>
    <t>8.48e-05</t>
  </si>
  <si>
    <t>Upper_Lower_Extremities_imputed</t>
  </si>
  <si>
    <t>7.47e-05</t>
  </si>
  <si>
    <t>5.87e-08</t>
  </si>
  <si>
    <t>arr_pp_prompt</t>
  </si>
  <si>
    <t>2.4e-08</t>
  </si>
  <si>
    <t>0.0011</t>
  </si>
  <si>
    <t>head_neck_AIS</t>
  </si>
  <si>
    <t>4.17e-14</t>
  </si>
  <si>
    <t>2.22e-14</t>
  </si>
  <si>
    <t>3.49e-07</t>
  </si>
  <si>
    <t>EDH</t>
  </si>
  <si>
    <t>2.26e-07</t>
  </si>
  <si>
    <t>0.00162</t>
  </si>
  <si>
    <t>contusion</t>
  </si>
  <si>
    <t>0.00152</t>
  </si>
  <si>
    <t>0.000855</t>
  </si>
  <si>
    <t>SAH</t>
  </si>
  <si>
    <t>0.000782</t>
  </si>
  <si>
    <t>0.0347</t>
  </si>
  <si>
    <t>IVH</t>
  </si>
  <si>
    <t>0.0342</t>
  </si>
  <si>
    <t>0.0194</t>
  </si>
  <si>
    <t>MidlineShift</t>
  </si>
  <si>
    <t>0.0193</t>
  </si>
  <si>
    <t>0.000801</t>
  </si>
  <si>
    <t>basal_cistern_compression</t>
  </si>
  <si>
    <t>0.000785</t>
  </si>
  <si>
    <t>0.0756</t>
  </si>
  <si>
    <t>ns(Alk.Phosphatase, df = 4)</t>
  </si>
  <si>
    <t>0.000385</t>
  </si>
  <si>
    <t>0.833</t>
  </si>
  <si>
    <t>0.0152</t>
  </si>
  <si>
    <t>2.03e-05</t>
  </si>
  <si>
    <t>0.514</t>
  </si>
  <si>
    <t>ns(CRP, df = 4)</t>
  </si>
  <si>
    <t>0.000858</t>
  </si>
  <si>
    <t>0.965</t>
  </si>
  <si>
    <t>0.129</t>
  </si>
  <si>
    <t>0.000484</t>
  </si>
  <si>
    <t>0.0108</t>
  </si>
  <si>
    <t>ns(Sodium, df = 4)</t>
  </si>
  <si>
    <t>0.00334</t>
  </si>
  <si>
    <t>0.329</t>
  </si>
  <si>
    <t>0.292</t>
  </si>
  <si>
    <t>0.0157</t>
  </si>
  <si>
    <t>0.924</t>
  </si>
  <si>
    <t>ns(aPTT, df = 4)</t>
  </si>
  <si>
    <t>9.12e-08</t>
  </si>
  <si>
    <t>0.00414</t>
  </si>
  <si>
    <t>0.238</t>
  </si>
  <si>
    <t>0.027</t>
  </si>
  <si>
    <t>JSON</t>
  </si>
  <si>
    <t>{"formula":"GOSE_3_Unfav ~ Age + InjuryHx.InjCause + arr_status + Upper_Lower_Extremities_imputed + arr_pp_prompt + head_neck_AIS + EDH + contusion + SAH + IVH + MidlineShift + basal_cistern_compression + ns(Alk.Phosphatase, df = 4) + ns(CRP, df = 4) + ns(Sodium, df = 4) + ns(aPTT, df = 4)","penalty":"lasso","alpha":1,"lambda":0.02,"x_names":["Age","InjuryHx.InjCause1","InjuryHx.InjCause3","InjuryHx.InjCause88","arr_statusComa","arr_statusDrowsy","arr_statusSemicoma","arr_statusStupor","Upper_Lower_Extremities_imputedBoth Bilateral","arr_pp_promptbilateral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4)4","ns(Sodium, df = 4)1","ns(Sodium, df = 4)2","ns(Sodium, df = 4)3","ns(Sodium, df = 4)4","ns(aPTT, df = 4)1","ns(aPTT, df = 4)2","ns(aPTT, df = 4)3","ns(aPTT, df = 4)4"],"train_test":false,"test_prop":{},"split_seed":{},"standardize":true,"threshold":0.5,"family":"binomial","link":"logit"}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</si>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</sst>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2310</v>
      </c>
      <c r="C2">
        <v>963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0.9113</v>
      </c>
    </row>
    <row r="3" spans="1:2" x14ac:dyDescent="0.3">
      <c r="A3" t="s">
        <v>30</v>
      </c>
      <c r="B3">
        <v>0.83940000000000003</v>
      </c>
    </row>
    <row r="4" spans="1:2" x14ac:dyDescent="0.3">
      <c r="A4" t="s">
        <v>31</v>
      </c>
      <c r="B4">
        <v>0.74350000000000005</v>
      </c>
    </row>
    <row r="5" spans="1:2" x14ac:dyDescent="0.3">
      <c r="A5" t="s">
        <v>32</v>
      </c>
      <c r="B5">
        <v>0.85240000000000005</v>
      </c>
    </row>
    <row r="6" spans="1:2" x14ac:dyDescent="0.3">
      <c r="A6" t="s">
        <v>33</v>
      </c>
      <c r="B6">
        <v>0.79420000000000002</v>
      </c>
    </row>
    <row r="7" spans="1:2" x14ac:dyDescent="0.3">
      <c r="A7" t="s">
        <v>34</v>
      </c>
      <c r="B7">
        <v>0.437</v>
      </c>
    </row>
    <row r="8" spans="1:2" x14ac:dyDescent="0.3">
      <c r="A8" t="s">
        <v>35</v>
      </c>
      <c r="B8">
        <v>1808.7919999999999</v>
      </c>
    </row>
    <row r="9" spans="1:2" x14ac:dyDescent="0.3">
      <c r="A9" t="s">
        <v>36</v>
      </c>
      <c r="B9">
        <v>0.1179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2.0595216133689399E-10</v>
      </c>
      <c r="C2">
        <v>5.4440342138274499E-2</v>
      </c>
      <c r="D2">
        <v>3.7830798493843101E-9</v>
      </c>
      <c r="E2">
        <v>0.99999999698153896</v>
      </c>
      <c r="F2">
        <v>-0.106703070385066</v>
      </c>
      <c r="G2">
        <v>0.10670307079697</v>
      </c>
    </row>
    <row r="3" spans="1:7" x14ac:dyDescent="0.3">
      <c r="A3" t="s">
        <v>45</v>
      </c>
      <c r="B3">
        <v>1.3654580417190401</v>
      </c>
      <c r="C3">
        <v>5.3882609821946002E-2</v>
      </c>
      <c r="D3">
        <v>25.3413493932675</v>
      </c>
      <c r="E3">
        <v>1.11932254144342E-141</v>
      </c>
      <c r="F3">
        <v>1.2598481264680299</v>
      </c>
      <c r="G3">
        <v>1.47106795697005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-2.8098797298327001</v>
      </c>
    </row>
    <row r="3" spans="1:3" x14ac:dyDescent="0.3">
      <c r="A3" t="s">
        <v>49</v>
      </c>
      <c r="B3" t="s">
        <v>51</v>
      </c>
      <c r="C3">
        <v>1.91211960789523E-2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-2.1240767784492302E-2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0.29920433157087201</v>
      </c>
    </row>
    <row r="8" spans="1:3" x14ac:dyDescent="0.3">
      <c r="A8" t="s">
        <v>49</v>
      </c>
      <c r="B8" t="s">
        <v>56</v>
      </c>
      <c r="C8">
        <v>0</v>
      </c>
    </row>
    <row r="9" spans="1:3" x14ac:dyDescent="0.3">
      <c r="A9" t="s">
        <v>49</v>
      </c>
      <c r="B9" t="s">
        <v>57</v>
      </c>
      <c r="C9">
        <v>0.48177925134643501</v>
      </c>
    </row>
    <row r="10" spans="1:3" x14ac:dyDescent="0.3">
      <c r="A10" t="s">
        <v>49</v>
      </c>
      <c r="B10" t="s">
        <v>58</v>
      </c>
      <c r="C10">
        <v>0.139471505610434</v>
      </c>
    </row>
    <row r="11" spans="1:3" x14ac:dyDescent="0.3">
      <c r="A11" t="s">
        <v>49</v>
      </c>
      <c r="B11" t="s">
        <v>59</v>
      </c>
      <c r="C11">
        <v>1.0887664346216599</v>
      </c>
    </row>
    <row r="12" spans="1:3" x14ac:dyDescent="0.3">
      <c r="A12" t="s">
        <v>49</v>
      </c>
      <c r="B12" t="s">
        <v>60</v>
      </c>
      <c r="C12">
        <v>1.0228548669654201</v>
      </c>
    </row>
    <row r="13" spans="1:3" x14ac:dyDescent="0.3">
      <c r="A13" t="s">
        <v>49</v>
      </c>
      <c r="B13" t="s">
        <v>61</v>
      </c>
      <c r="C13">
        <v>0.15790738573214899</v>
      </c>
    </row>
    <row r="14" spans="1:3" x14ac:dyDescent="0.3">
      <c r="A14" t="s">
        <v>49</v>
      </c>
      <c r="B14" t="s">
        <v>62</v>
      </c>
      <c r="C14">
        <v>1.0034594461500299</v>
      </c>
    </row>
    <row r="15" spans="1:3" x14ac:dyDescent="0.3">
      <c r="A15" t="s">
        <v>49</v>
      </c>
      <c r="B15" t="s">
        <v>63</v>
      </c>
      <c r="C15">
        <v>-0.34844261134466298</v>
      </c>
    </row>
    <row r="16" spans="1:3" x14ac:dyDescent="0.3">
      <c r="A16" t="s">
        <v>49</v>
      </c>
      <c r="B16" t="s">
        <v>64</v>
      </c>
      <c r="C16">
        <v>0.29681345850895402</v>
      </c>
    </row>
    <row r="17" spans="1:3" x14ac:dyDescent="0.3">
      <c r="A17" t="s">
        <v>49</v>
      </c>
      <c r="B17" t="s">
        <v>65</v>
      </c>
      <c r="C17">
        <v>0.38592434617571297</v>
      </c>
    </row>
    <row r="18" spans="1:3" x14ac:dyDescent="0.3">
      <c r="A18" t="s">
        <v>49</v>
      </c>
      <c r="B18" t="s">
        <v>66</v>
      </c>
      <c r="C18">
        <v>0.26930609342252598</v>
      </c>
    </row>
    <row r="19" spans="1:3" x14ac:dyDescent="0.3">
      <c r="A19" t="s">
        <v>49</v>
      </c>
      <c r="B19" t="s">
        <v>67</v>
      </c>
      <c r="C19">
        <v>0.29712059362899301</v>
      </c>
    </row>
    <row r="20" spans="1:3" x14ac:dyDescent="0.3">
      <c r="A20" t="s">
        <v>49</v>
      </c>
      <c r="B20" t="s">
        <v>68</v>
      </c>
      <c r="C20">
        <v>0.48627003642654298</v>
      </c>
    </row>
    <row r="21" spans="1:3" x14ac:dyDescent="0.3">
      <c r="A21" t="s">
        <v>49</v>
      </c>
      <c r="B21" t="s">
        <v>69</v>
      </c>
      <c r="C21">
        <v>0</v>
      </c>
    </row>
    <row r="22" spans="1:3" x14ac:dyDescent="0.3">
      <c r="A22" t="s">
        <v>49</v>
      </c>
      <c r="B22" t="s">
        <v>70</v>
      </c>
      <c r="C22">
        <v>0</v>
      </c>
    </row>
    <row r="23" spans="1:3" x14ac:dyDescent="0.3">
      <c r="A23" t="s">
        <v>49</v>
      </c>
      <c r="B23" t="s">
        <v>71</v>
      </c>
      <c r="C23">
        <v>0</v>
      </c>
    </row>
    <row r="24" spans="1:3" x14ac:dyDescent="0.3">
      <c r="A24" t="s">
        <v>49</v>
      </c>
      <c r="B24" t="s">
        <v>72</v>
      </c>
      <c r="C24">
        <v>0.435325366433024</v>
      </c>
    </row>
    <row r="25" spans="1:3" x14ac:dyDescent="0.3">
      <c r="A25" t="s">
        <v>49</v>
      </c>
      <c r="B25" t="s">
        <v>73</v>
      </c>
      <c r="C25">
        <v>0</v>
      </c>
    </row>
    <row r="26" spans="1:3" x14ac:dyDescent="0.3">
      <c r="A26" t="s">
        <v>49</v>
      </c>
      <c r="B26" t="s">
        <v>74</v>
      </c>
      <c r="C26">
        <v>0</v>
      </c>
    </row>
    <row r="27" spans="1:3" x14ac:dyDescent="0.3">
      <c r="A27" t="s">
        <v>49</v>
      </c>
      <c r="B27" t="s">
        <v>75</v>
      </c>
      <c r="C27">
        <v>0</v>
      </c>
    </row>
    <row r="28" spans="1:3" x14ac:dyDescent="0.3">
      <c r="A28" t="s">
        <v>49</v>
      </c>
      <c r="B28" t="s">
        <v>76</v>
      </c>
      <c r="C28">
        <v>0.79333776558221003</v>
      </c>
    </row>
    <row r="29" spans="1:3" x14ac:dyDescent="0.3">
      <c r="A29" t="s">
        <v>49</v>
      </c>
      <c r="B29" t="s">
        <v>77</v>
      </c>
      <c r="C29">
        <v>-0.227767149821098</v>
      </c>
    </row>
    <row r="30" spans="1:3" x14ac:dyDescent="0.3">
      <c r="A30" t="s">
        <v>49</v>
      </c>
      <c r="B30" t="s">
        <v>78</v>
      </c>
      <c r="C30">
        <v>0</v>
      </c>
    </row>
    <row r="31" spans="1:3" x14ac:dyDescent="0.3">
      <c r="A31" t="s">
        <v>49</v>
      </c>
      <c r="B31" t="s">
        <v>79</v>
      </c>
      <c r="C31">
        <v>0</v>
      </c>
    </row>
    <row r="32" spans="1:3" x14ac:dyDescent="0.3">
      <c r="A32" t="s">
        <v>49</v>
      </c>
      <c r="B32" t="s">
        <v>80</v>
      </c>
      <c r="C32">
        <v>0</v>
      </c>
    </row>
    <row r="33" spans="1:3" x14ac:dyDescent="0.3">
      <c r="A33" t="s">
        <v>49</v>
      </c>
      <c r="B33" t="s">
        <v>81</v>
      </c>
      <c r="C33">
        <v>0</v>
      </c>
    </row>
    <row r="34" spans="1:3" x14ac:dyDescent="0.3">
      <c r="A34" t="s">
        <v>49</v>
      </c>
      <c r="B34" t="s">
        <v>82</v>
      </c>
      <c r="C34">
        <v>1.34628903759152</v>
      </c>
    </row>
    <row r="35" spans="1:3" x14ac:dyDescent="0.3">
      <c r="A35" t="s">
        <v>49</v>
      </c>
      <c r="B35" t="s">
        <v>83</v>
      </c>
      <c r="C35">
        <v>0</v>
      </c>
    </row>
    <row r="36" spans="1:3" x14ac:dyDescent="0.3">
      <c r="A36" t="s">
        <v>49</v>
      </c>
      <c r="B36" t="s">
        <v>84</v>
      </c>
      <c r="C36">
        <v>0.29279464821485901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5"/>
  <sheetViews>
    <sheetView tabSelected="1" workbookViewId="0">
      <pane ySplit="1" topLeftCell="A17" activePane="bottomLeft" state="frozen"/>
      <selection pane="bottomLeft" activeCell="J18" sqref="J18"/>
    </sheetView>
  </sheetViews>
  <sheetFormatPr defaultColWidth="11.5546875" defaultRowHeight="14.4" x14ac:dyDescent="0.3"/>
  <sheetData>
    <row r="1" spans="1:18" x14ac:dyDescent="0.3">
      <c r="A1" t="s">
        <v>85</v>
      </c>
      <c r="B1" t="s">
        <v>86</v>
      </c>
      <c r="C1" t="s">
        <v>87</v>
      </c>
      <c r="D1" t="s">
        <v>88</v>
      </c>
      <c r="E1" t="s">
        <v>41</v>
      </c>
      <c r="F1" t="s">
        <v>89</v>
      </c>
      <c r="G1" t="s">
        <v>90</v>
      </c>
      <c r="H1" t="s">
        <v>42</v>
      </c>
      <c r="I1" t="s">
        <v>43</v>
      </c>
      <c r="J1" t="s">
        <v>166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3">
      <c r="A2" t="s">
        <v>51</v>
      </c>
      <c r="B2">
        <v>3.26244660416476E-2</v>
      </c>
      <c r="C2">
        <v>4.2167575163281398E-3</v>
      </c>
      <c r="D2">
        <v>7.7368608261962102</v>
      </c>
      <c r="E2">
        <v>1.01901499678347E-14</v>
      </c>
      <c r="F2" t="s">
        <v>99</v>
      </c>
      <c r="G2">
        <v>1.0331624787856499</v>
      </c>
      <c r="H2">
        <v>1.0246587407585801</v>
      </c>
      <c r="I2">
        <v>1.0417367901241501</v>
      </c>
      <c r="J2" t="str">
        <f>_xlfn.CONCAT(ROUND(G2,2), " (", ROUND(H2,2),"-",ROUND(I2,2),")")</f>
        <v>1.03 (1.02-1.04)</v>
      </c>
      <c r="K2" t="s">
        <v>51</v>
      </c>
      <c r="L2">
        <v>1.2275801302059901</v>
      </c>
      <c r="M2">
        <v>1.2275801302059901</v>
      </c>
      <c r="N2">
        <v>1.2275801302059901</v>
      </c>
      <c r="O2">
        <v>63.9408499521764</v>
      </c>
      <c r="P2">
        <v>1</v>
      </c>
      <c r="Q2">
        <v>1.2821140591674801E-15</v>
      </c>
      <c r="R2" t="s">
        <v>100</v>
      </c>
    </row>
    <row r="3" spans="1:18" x14ac:dyDescent="0.3">
      <c r="A3" t="s">
        <v>52</v>
      </c>
      <c r="B3">
        <v>0.13650933882662</v>
      </c>
      <c r="C3">
        <v>0.14293911427055001</v>
      </c>
      <c r="D3">
        <v>0.95501738291339699</v>
      </c>
      <c r="E3">
        <v>0.33956890642556598</v>
      </c>
      <c r="F3" t="s">
        <v>101</v>
      </c>
      <c r="G3">
        <v>1.1462655825013199</v>
      </c>
      <c r="H3">
        <v>0.86618971398627098</v>
      </c>
      <c r="I3">
        <v>1.5169018569619199</v>
      </c>
      <c r="J3" t="str">
        <f t="shared" ref="J3:J35" si="0">_xlfn.CONCAT(ROUND(G3,2), " (", ROUND(H3,2),"-",ROUND(I3,2),")")</f>
        <v>1.15 (0.87-1.52)</v>
      </c>
      <c r="K3" t="s">
        <v>102</v>
      </c>
      <c r="L3">
        <v>1.17252879412613</v>
      </c>
      <c r="M3">
        <v>1.2705797437805499</v>
      </c>
      <c r="N3">
        <v>1.2705797437805499</v>
      </c>
      <c r="O3">
        <v>6.8752904230880203</v>
      </c>
      <c r="P3">
        <v>3</v>
      </c>
      <c r="Q3">
        <v>7.5980722009726706E-2</v>
      </c>
      <c r="R3" t="s">
        <v>103</v>
      </c>
    </row>
    <row r="4" spans="1:18" x14ac:dyDescent="0.3">
      <c r="A4" t="s">
        <v>53</v>
      </c>
      <c r="B4">
        <v>-0.50162422055299805</v>
      </c>
      <c r="C4">
        <v>0.32329822678318598</v>
      </c>
      <c r="D4">
        <v>-1.5515835813395999</v>
      </c>
      <c r="E4">
        <v>0.12076189422582199</v>
      </c>
      <c r="F4" t="s">
        <v>104</v>
      </c>
      <c r="G4">
        <v>0.60554631975809603</v>
      </c>
      <c r="H4">
        <v>0.32132932568631201</v>
      </c>
      <c r="I4">
        <v>1.1411543113576299</v>
      </c>
      <c r="J4" t="str">
        <f t="shared" si="0"/>
        <v>0.61 (0.32-1.14)</v>
      </c>
      <c r="K4" t="s">
        <v>102</v>
      </c>
      <c r="L4">
        <v>1.17252879412613</v>
      </c>
      <c r="M4">
        <v>1.2705797437805499</v>
      </c>
      <c r="N4">
        <v>1.14543671030084</v>
      </c>
      <c r="O4">
        <v>6.8752904230880203</v>
      </c>
      <c r="P4">
        <v>3</v>
      </c>
      <c r="Q4">
        <v>7.5980722009726706E-2</v>
      </c>
      <c r="R4" t="s">
        <v>103</v>
      </c>
    </row>
    <row r="5" spans="1:18" x14ac:dyDescent="0.3">
      <c r="A5" t="s">
        <v>54</v>
      </c>
      <c r="B5">
        <v>-0.39140913192371302</v>
      </c>
      <c r="C5">
        <v>0.27300211845775302</v>
      </c>
      <c r="D5">
        <v>-1.4337219584040799</v>
      </c>
      <c r="E5">
        <v>0.151651623347174</v>
      </c>
      <c r="F5" t="s">
        <v>105</v>
      </c>
      <c r="G5">
        <v>0.67610348392644304</v>
      </c>
      <c r="H5">
        <v>0.39593972690358398</v>
      </c>
      <c r="I5">
        <v>1.1545088555581799</v>
      </c>
      <c r="J5" t="str">
        <f t="shared" si="0"/>
        <v>0.68 (0.4-1.15)</v>
      </c>
      <c r="K5" t="s">
        <v>102</v>
      </c>
      <c r="L5">
        <v>1.17252879412613</v>
      </c>
      <c r="M5">
        <v>1.2705797437805499</v>
      </c>
      <c r="N5">
        <v>1.10156992829699</v>
      </c>
      <c r="O5">
        <v>6.8752904230880203</v>
      </c>
      <c r="P5">
        <v>3</v>
      </c>
      <c r="Q5">
        <v>7.5980722009726706E-2</v>
      </c>
      <c r="R5" t="s">
        <v>103</v>
      </c>
    </row>
    <row r="6" spans="1:18" x14ac:dyDescent="0.3">
      <c r="A6" t="s">
        <v>55</v>
      </c>
      <c r="B6">
        <v>1.7276663675891</v>
      </c>
      <c r="C6">
        <v>0.39733172124482502</v>
      </c>
      <c r="D6">
        <v>4.34817125140773</v>
      </c>
      <c r="E6">
        <v>1.3727739777894001E-5</v>
      </c>
      <c r="F6" t="s">
        <v>106</v>
      </c>
      <c r="G6">
        <v>5.62750604275843</v>
      </c>
      <c r="H6">
        <v>2.5828571119675199</v>
      </c>
      <c r="I6">
        <v>12.2611599823106</v>
      </c>
      <c r="J6" t="str">
        <f t="shared" si="0"/>
        <v>5.63 (2.58-12.26)</v>
      </c>
      <c r="K6" t="s">
        <v>107</v>
      </c>
      <c r="L6">
        <v>2.3675502167985898</v>
      </c>
      <c r="M6">
        <v>3.0342618367058001</v>
      </c>
      <c r="N6">
        <v>3.0342618367058001</v>
      </c>
      <c r="O6">
        <v>45.832814100669303</v>
      </c>
      <c r="P6">
        <v>4</v>
      </c>
      <c r="Q6">
        <v>2.6682517895271299E-9</v>
      </c>
      <c r="R6" t="s">
        <v>108</v>
      </c>
    </row>
    <row r="7" spans="1:18" x14ac:dyDescent="0.3">
      <c r="A7" t="s">
        <v>56</v>
      </c>
      <c r="B7">
        <v>0.70089234519872701</v>
      </c>
      <c r="C7">
        <v>0.199681221905396</v>
      </c>
      <c r="D7">
        <v>3.5100563714037798</v>
      </c>
      <c r="E7">
        <v>4.4801170347138499E-4</v>
      </c>
      <c r="F7" t="s">
        <v>109</v>
      </c>
      <c r="G7">
        <v>2.0155504720244002</v>
      </c>
      <c r="H7">
        <v>1.3627669435874901</v>
      </c>
      <c r="I7">
        <v>2.9810260106422701</v>
      </c>
      <c r="J7" t="str">
        <f t="shared" si="0"/>
        <v>2.02 (1.36-2.98)</v>
      </c>
      <c r="K7" t="s">
        <v>107</v>
      </c>
      <c r="L7">
        <v>2.3675502167985898</v>
      </c>
      <c r="M7">
        <v>3.0342618367058001</v>
      </c>
      <c r="N7">
        <v>1.6483652913229101</v>
      </c>
      <c r="O7">
        <v>45.832814100669303</v>
      </c>
      <c r="P7">
        <v>4</v>
      </c>
      <c r="Q7">
        <v>2.6682517895271299E-9</v>
      </c>
      <c r="R7" t="s">
        <v>108</v>
      </c>
    </row>
    <row r="8" spans="1:18" x14ac:dyDescent="0.3">
      <c r="A8" t="s">
        <v>57</v>
      </c>
      <c r="B8">
        <v>1.62977156496828</v>
      </c>
      <c r="C8">
        <v>0.25455800817477098</v>
      </c>
      <c r="D8">
        <v>6.4023582548199904</v>
      </c>
      <c r="E8">
        <v>1.5299514688264999E-10</v>
      </c>
      <c r="F8" t="s">
        <v>110</v>
      </c>
      <c r="G8">
        <v>5.1027089479099796</v>
      </c>
      <c r="H8">
        <v>3.0982513414895001</v>
      </c>
      <c r="I8">
        <v>8.4039788052065703</v>
      </c>
      <c r="J8" t="str">
        <f t="shared" si="0"/>
        <v>5.1 (3.1-8.4)</v>
      </c>
      <c r="K8" t="s">
        <v>107</v>
      </c>
      <c r="L8">
        <v>2.3675502167985898</v>
      </c>
      <c r="M8">
        <v>3.0342618367058001</v>
      </c>
      <c r="N8">
        <v>2.9334729289938699</v>
      </c>
      <c r="O8">
        <v>45.832814100669303</v>
      </c>
      <c r="P8">
        <v>4</v>
      </c>
      <c r="Q8">
        <v>2.6682517895271299E-9</v>
      </c>
      <c r="R8" t="s">
        <v>108</v>
      </c>
    </row>
    <row r="9" spans="1:18" x14ac:dyDescent="0.3">
      <c r="A9" t="s">
        <v>58</v>
      </c>
      <c r="B9">
        <v>1.1954064075964601</v>
      </c>
      <c r="C9">
        <v>0.22747928551239099</v>
      </c>
      <c r="D9">
        <v>5.2550121427708696</v>
      </c>
      <c r="E9">
        <v>1.4801470533781501E-7</v>
      </c>
      <c r="F9" t="s">
        <v>111</v>
      </c>
      <c r="G9">
        <v>3.3049006343314802</v>
      </c>
      <c r="H9">
        <v>2.1160412496978398</v>
      </c>
      <c r="I9">
        <v>5.1616990946487</v>
      </c>
      <c r="J9" t="str">
        <f t="shared" si="0"/>
        <v>3.3 (2.12-5.16)</v>
      </c>
      <c r="K9" t="s">
        <v>107</v>
      </c>
      <c r="L9">
        <v>2.3675502167985898</v>
      </c>
      <c r="M9">
        <v>3.0342618367058001</v>
      </c>
      <c r="N9">
        <v>1.85410081017179</v>
      </c>
      <c r="O9">
        <v>45.832814100669303</v>
      </c>
      <c r="P9">
        <v>4</v>
      </c>
      <c r="Q9">
        <v>2.6682517895271299E-9</v>
      </c>
      <c r="R9" t="s">
        <v>108</v>
      </c>
    </row>
    <row r="10" spans="1:18" x14ac:dyDescent="0.3">
      <c r="A10" t="s">
        <v>59</v>
      </c>
      <c r="B10">
        <v>0.80393065651685702</v>
      </c>
      <c r="C10">
        <v>0.20453859665287299</v>
      </c>
      <c r="D10">
        <v>3.93045943246215</v>
      </c>
      <c r="E10">
        <v>8.4783698384575598E-5</v>
      </c>
      <c r="F10" t="s">
        <v>112</v>
      </c>
      <c r="G10">
        <v>2.23430598036567</v>
      </c>
      <c r="H10">
        <v>1.49635927391136</v>
      </c>
      <c r="I10">
        <v>3.3361795532223799</v>
      </c>
      <c r="J10" t="str">
        <f t="shared" si="0"/>
        <v>2.23 (1.5-3.34)</v>
      </c>
      <c r="K10" t="s">
        <v>113</v>
      </c>
      <c r="L10">
        <v>2.65509644141027</v>
      </c>
      <c r="M10">
        <v>2.65509644141027</v>
      </c>
      <c r="N10">
        <v>2.65509644141027</v>
      </c>
      <c r="O10">
        <v>15.689078107895501</v>
      </c>
      <c r="P10">
        <v>1</v>
      </c>
      <c r="Q10">
        <v>7.4654011833967502E-5</v>
      </c>
      <c r="R10" t="s">
        <v>114</v>
      </c>
    </row>
    <row r="11" spans="1:18" x14ac:dyDescent="0.3">
      <c r="A11" t="s">
        <v>60</v>
      </c>
      <c r="B11">
        <v>1.18112568395746</v>
      </c>
      <c r="C11">
        <v>0.217805835952602</v>
      </c>
      <c r="D11">
        <v>5.4228376333060897</v>
      </c>
      <c r="E11">
        <v>5.8660272113369197E-8</v>
      </c>
      <c r="F11" t="s">
        <v>115</v>
      </c>
      <c r="G11">
        <v>3.2580396624088701</v>
      </c>
      <c r="H11">
        <v>2.1259659110764102</v>
      </c>
      <c r="I11">
        <v>4.99294103754226</v>
      </c>
      <c r="J11" t="str">
        <f t="shared" si="0"/>
        <v>3.26 (2.13-4.99)</v>
      </c>
      <c r="K11" t="s">
        <v>116</v>
      </c>
      <c r="L11">
        <v>1.8006286148746899</v>
      </c>
      <c r="M11">
        <v>1.8006286148746899</v>
      </c>
      <c r="N11">
        <v>1.8006286148746899</v>
      </c>
      <c r="O11">
        <v>31.139256501561199</v>
      </c>
      <c r="P11">
        <v>1</v>
      </c>
      <c r="Q11">
        <v>2.4016490752199601E-8</v>
      </c>
      <c r="R11" t="s">
        <v>117</v>
      </c>
    </row>
    <row r="12" spans="1:18" x14ac:dyDescent="0.3">
      <c r="A12" t="s">
        <v>61</v>
      </c>
      <c r="B12">
        <v>0.57593551268670795</v>
      </c>
      <c r="C12">
        <v>0.17641194446471101</v>
      </c>
      <c r="D12">
        <v>3.2647194861678801</v>
      </c>
      <c r="E12">
        <v>1.09572532841908E-3</v>
      </c>
      <c r="F12" t="s">
        <v>118</v>
      </c>
      <c r="G12">
        <v>1.77879383296855</v>
      </c>
      <c r="H12">
        <v>1.2588116003080301</v>
      </c>
      <c r="I12">
        <v>2.5135671608306498</v>
      </c>
      <c r="J12" t="str">
        <f t="shared" si="0"/>
        <v>1.78 (1.26-2.51)</v>
      </c>
      <c r="K12" t="s">
        <v>119</v>
      </c>
      <c r="L12">
        <v>1.9347904470417501</v>
      </c>
      <c r="M12">
        <v>2.36969046634729</v>
      </c>
      <c r="N12">
        <v>1.49989042773621</v>
      </c>
      <c r="O12">
        <v>61.615228972972801</v>
      </c>
      <c r="P12">
        <v>2</v>
      </c>
      <c r="Q12">
        <v>4.1727563615869798E-14</v>
      </c>
      <c r="R12" t="s">
        <v>120</v>
      </c>
    </row>
    <row r="13" spans="1:18" x14ac:dyDescent="0.3">
      <c r="A13" t="s">
        <v>62</v>
      </c>
      <c r="B13">
        <v>1.41694506910233</v>
      </c>
      <c r="C13">
        <v>0.18552636821281701</v>
      </c>
      <c r="D13">
        <v>7.6374322569444999</v>
      </c>
      <c r="E13">
        <v>2.21596562797021E-14</v>
      </c>
      <c r="F13" t="s">
        <v>121</v>
      </c>
      <c r="G13">
        <v>4.12450110859844</v>
      </c>
      <c r="H13">
        <v>2.86713532703862</v>
      </c>
      <c r="I13">
        <v>5.9332774544689499</v>
      </c>
      <c r="J13" t="str">
        <f t="shared" si="0"/>
        <v>4.12 (2.87-5.93)</v>
      </c>
      <c r="K13" t="s">
        <v>119</v>
      </c>
      <c r="L13">
        <v>1.9347904470417501</v>
      </c>
      <c r="M13">
        <v>2.36969046634729</v>
      </c>
      <c r="N13">
        <v>2.36969046634729</v>
      </c>
      <c r="O13">
        <v>61.615228972972801</v>
      </c>
      <c r="P13">
        <v>2</v>
      </c>
      <c r="Q13">
        <v>4.1727563615869798E-14</v>
      </c>
      <c r="R13" t="s">
        <v>120</v>
      </c>
    </row>
    <row r="14" spans="1:18" x14ac:dyDescent="0.3">
      <c r="A14" t="s">
        <v>63</v>
      </c>
      <c r="B14">
        <v>-0.77145919208903901</v>
      </c>
      <c r="C14">
        <v>0.151411448517876</v>
      </c>
      <c r="D14">
        <v>-5.09511796921986</v>
      </c>
      <c r="E14">
        <v>3.48524161761167E-7</v>
      </c>
      <c r="F14" t="s">
        <v>122</v>
      </c>
      <c r="G14">
        <v>0.46233793599848499</v>
      </c>
      <c r="H14">
        <v>0.343617681316499</v>
      </c>
      <c r="I14">
        <v>0.62207615814289996</v>
      </c>
      <c r="J14" t="str">
        <f t="shared" si="0"/>
        <v>0.46 (0.34-0.62)</v>
      </c>
      <c r="K14" t="s">
        <v>123</v>
      </c>
      <c r="L14">
        <v>1.15081110587076</v>
      </c>
      <c r="M14">
        <v>1.15081110587076</v>
      </c>
      <c r="N14">
        <v>1.15081110587076</v>
      </c>
      <c r="O14">
        <v>26.794982890250399</v>
      </c>
      <c r="P14">
        <v>1</v>
      </c>
      <c r="Q14">
        <v>2.2622390192687799E-7</v>
      </c>
      <c r="R14" t="s">
        <v>124</v>
      </c>
    </row>
    <row r="15" spans="1:18" x14ac:dyDescent="0.3">
      <c r="A15" t="s">
        <v>64</v>
      </c>
      <c r="B15">
        <v>0.50064636419936304</v>
      </c>
      <c r="C15">
        <v>0.158787882266893</v>
      </c>
      <c r="D15">
        <v>3.15292550698465</v>
      </c>
      <c r="E15">
        <v>1.6164305049100301E-3</v>
      </c>
      <c r="F15" t="s">
        <v>125</v>
      </c>
      <c r="G15">
        <v>1.64978728958535</v>
      </c>
      <c r="H15">
        <v>1.20855099227685</v>
      </c>
      <c r="I15">
        <v>2.2521168889610799</v>
      </c>
      <c r="J15" t="str">
        <f t="shared" si="0"/>
        <v>1.65 (1.21-2.25)</v>
      </c>
      <c r="K15" t="s">
        <v>126</v>
      </c>
      <c r="L15">
        <v>1.24099171485168</v>
      </c>
      <c r="M15">
        <v>1.24099171485168</v>
      </c>
      <c r="N15">
        <v>1.24099171485168</v>
      </c>
      <c r="O15">
        <v>10.0550960402356</v>
      </c>
      <c r="P15">
        <v>1</v>
      </c>
      <c r="Q15">
        <v>1.51927097080194E-3</v>
      </c>
      <c r="R15" t="s">
        <v>127</v>
      </c>
    </row>
    <row r="16" spans="1:18" x14ac:dyDescent="0.3">
      <c r="A16" t="s">
        <v>65</v>
      </c>
      <c r="B16">
        <v>0.53232475249170297</v>
      </c>
      <c r="C16">
        <v>0.15965566277048299</v>
      </c>
      <c r="D16">
        <v>3.3342052718603501</v>
      </c>
      <c r="E16">
        <v>8.55435026527053E-4</v>
      </c>
      <c r="F16" t="s">
        <v>128</v>
      </c>
      <c r="G16">
        <v>1.7028865002137701</v>
      </c>
      <c r="H16">
        <v>1.24532887724358</v>
      </c>
      <c r="I16">
        <v>2.3285595360390099</v>
      </c>
      <c r="J16" t="str">
        <f t="shared" si="0"/>
        <v>1.7 (1.25-2.33)</v>
      </c>
      <c r="K16" t="s">
        <v>129</v>
      </c>
      <c r="L16">
        <v>1.31136293095011</v>
      </c>
      <c r="M16">
        <v>1.31136293095011</v>
      </c>
      <c r="N16">
        <v>1.31136293095011</v>
      </c>
      <c r="O16">
        <v>11.282672239991101</v>
      </c>
      <c r="P16">
        <v>1</v>
      </c>
      <c r="Q16">
        <v>7.8233864231439096E-4</v>
      </c>
      <c r="R16" t="s">
        <v>130</v>
      </c>
    </row>
    <row r="17" spans="1:18" x14ac:dyDescent="0.3">
      <c r="A17" t="s">
        <v>66</v>
      </c>
      <c r="B17">
        <v>0.38706951356368102</v>
      </c>
      <c r="C17">
        <v>0.18325381799752699</v>
      </c>
      <c r="D17">
        <v>2.1122043611058898</v>
      </c>
      <c r="E17">
        <v>3.4668924630049301E-2</v>
      </c>
      <c r="F17" t="s">
        <v>131</v>
      </c>
      <c r="G17">
        <v>1.47265885748044</v>
      </c>
      <c r="H17">
        <v>1.0282846548301201</v>
      </c>
      <c r="I17">
        <v>2.1090697992316998</v>
      </c>
      <c r="J17" t="str">
        <f t="shared" si="0"/>
        <v>1.47 (1.03-2.11)</v>
      </c>
      <c r="K17" t="s">
        <v>132</v>
      </c>
      <c r="L17">
        <v>1.1413511953389499</v>
      </c>
      <c r="M17">
        <v>1.1413511953389499</v>
      </c>
      <c r="N17">
        <v>1.1413511953389499</v>
      </c>
      <c r="O17">
        <v>4.4867425669704097</v>
      </c>
      <c r="P17">
        <v>1</v>
      </c>
      <c r="Q17">
        <v>3.4158706165609697E-2</v>
      </c>
      <c r="R17" t="s">
        <v>133</v>
      </c>
    </row>
    <row r="18" spans="1:18" x14ac:dyDescent="0.3">
      <c r="A18" t="s">
        <v>67</v>
      </c>
      <c r="B18">
        <v>0.40876196302893097</v>
      </c>
      <c r="C18">
        <v>0.17491672393584901</v>
      </c>
      <c r="D18">
        <v>2.3368946881194002</v>
      </c>
      <c r="E18">
        <v>1.9444660621149901E-2</v>
      </c>
      <c r="F18" t="s">
        <v>134</v>
      </c>
      <c r="G18">
        <v>1.5049534432864</v>
      </c>
      <c r="H18">
        <v>1.0681467998279901</v>
      </c>
      <c r="I18">
        <v>2.1203872602757601</v>
      </c>
      <c r="J18" t="str">
        <f t="shared" si="0"/>
        <v>1.5 (1.07-2.12)</v>
      </c>
      <c r="K18" t="s">
        <v>135</v>
      </c>
      <c r="L18">
        <v>1.49413922280678</v>
      </c>
      <c r="M18">
        <v>1.49413922280678</v>
      </c>
      <c r="N18">
        <v>1.49413922280678</v>
      </c>
      <c r="O18">
        <v>5.4771615358849903</v>
      </c>
      <c r="P18">
        <v>1</v>
      </c>
      <c r="Q18">
        <v>1.9266519846648601E-2</v>
      </c>
      <c r="R18" t="s">
        <v>136</v>
      </c>
    </row>
    <row r="19" spans="1:18" x14ac:dyDescent="0.3">
      <c r="A19" t="s">
        <v>68</v>
      </c>
      <c r="B19">
        <v>0.54828987228439197</v>
      </c>
      <c r="C19">
        <v>0.16354375336148499</v>
      </c>
      <c r="D19">
        <v>3.35255771629806</v>
      </c>
      <c r="E19">
        <v>8.0068545027364398E-4</v>
      </c>
      <c r="F19" t="s">
        <v>137</v>
      </c>
      <c r="G19">
        <v>1.73029146688036</v>
      </c>
      <c r="H19">
        <v>1.2557639540316401</v>
      </c>
      <c r="I19">
        <v>2.3841332208549302</v>
      </c>
      <c r="J19" t="str">
        <f t="shared" si="0"/>
        <v>1.73 (1.26-2.38)</v>
      </c>
      <c r="K19" t="s">
        <v>138</v>
      </c>
      <c r="L19">
        <v>1.30910386767835</v>
      </c>
      <c r="M19">
        <v>1.30910386767835</v>
      </c>
      <c r="N19">
        <v>1.30910386767835</v>
      </c>
      <c r="O19">
        <v>11.275416679102801</v>
      </c>
      <c r="P19">
        <v>1</v>
      </c>
      <c r="Q19">
        <v>7.8540224049981195E-4</v>
      </c>
      <c r="R19" t="s">
        <v>139</v>
      </c>
    </row>
    <row r="20" spans="1:18" x14ac:dyDescent="0.3">
      <c r="A20" t="s">
        <v>69</v>
      </c>
      <c r="B20">
        <v>0.67608570367524901</v>
      </c>
      <c r="C20">
        <v>0.38049435186699498</v>
      </c>
      <c r="D20">
        <v>1.7768613393546</v>
      </c>
      <c r="E20">
        <v>7.5591056626201594E-2</v>
      </c>
      <c r="F20" t="s">
        <v>140</v>
      </c>
      <c r="G20">
        <v>1.96616649176356</v>
      </c>
      <c r="H20">
        <v>0.93268922482654903</v>
      </c>
      <c r="I20">
        <v>4.1448004012834598</v>
      </c>
      <c r="J20" t="str">
        <f t="shared" si="0"/>
        <v>1.97 (0.93-4.14)</v>
      </c>
      <c r="K20" t="s">
        <v>141</v>
      </c>
      <c r="L20">
        <v>2.6364580394495598</v>
      </c>
      <c r="M20">
        <v>4.1753050118426502</v>
      </c>
      <c r="N20">
        <v>2.5667171417366101</v>
      </c>
      <c r="O20">
        <v>20.572326529211999</v>
      </c>
      <c r="P20">
        <v>4</v>
      </c>
      <c r="Q20">
        <v>3.8487737571515299E-4</v>
      </c>
      <c r="R20" t="s">
        <v>142</v>
      </c>
    </row>
    <row r="21" spans="1:18" x14ac:dyDescent="0.3">
      <c r="A21" t="s">
        <v>70</v>
      </c>
      <c r="B21">
        <v>8.22088540482592E-2</v>
      </c>
      <c r="C21">
        <v>0.390679458517389</v>
      </c>
      <c r="D21">
        <v>0.21042533016769799</v>
      </c>
      <c r="E21">
        <v>0.83333572458359295</v>
      </c>
      <c r="F21" t="s">
        <v>143</v>
      </c>
      <c r="G21">
        <v>1.0856825353450901</v>
      </c>
      <c r="H21">
        <v>0.50483537919330801</v>
      </c>
      <c r="I21">
        <v>2.3348335242209499</v>
      </c>
      <c r="J21" t="str">
        <f t="shared" si="0"/>
        <v>1.09 (0.5-2.33)</v>
      </c>
      <c r="K21" t="s">
        <v>141</v>
      </c>
      <c r="L21">
        <v>2.6364580394495598</v>
      </c>
      <c r="M21">
        <v>4.1753050118426502</v>
      </c>
      <c r="N21">
        <v>2.1430502314565998</v>
      </c>
      <c r="O21">
        <v>20.572326529211999</v>
      </c>
      <c r="P21">
        <v>4</v>
      </c>
      <c r="Q21">
        <v>3.8487737571515299E-4</v>
      </c>
      <c r="R21" t="s">
        <v>142</v>
      </c>
    </row>
    <row r="22" spans="1:18" x14ac:dyDescent="0.3">
      <c r="A22" t="s">
        <v>71</v>
      </c>
      <c r="B22">
        <v>2.1549731282446598</v>
      </c>
      <c r="C22">
        <v>0.88783628505687195</v>
      </c>
      <c r="D22">
        <v>2.4272190318360498</v>
      </c>
      <c r="E22">
        <v>1.5215066961831799E-2</v>
      </c>
      <c r="F22" t="s">
        <v>144</v>
      </c>
      <c r="G22">
        <v>8.6276583355297891</v>
      </c>
      <c r="H22">
        <v>1.51408910836234</v>
      </c>
      <c r="I22">
        <v>49.162554530986696</v>
      </c>
      <c r="J22" t="str">
        <f t="shared" si="0"/>
        <v>8.63 (1.51-49.16)</v>
      </c>
      <c r="K22" t="s">
        <v>141</v>
      </c>
      <c r="L22">
        <v>2.6364580394495598</v>
      </c>
      <c r="M22">
        <v>4.1753050118426502</v>
      </c>
      <c r="N22">
        <v>4.1753050118426502</v>
      </c>
      <c r="O22">
        <v>20.572326529211999</v>
      </c>
      <c r="P22">
        <v>4</v>
      </c>
      <c r="Q22">
        <v>3.8487737571515299E-4</v>
      </c>
      <c r="R22" t="s">
        <v>142</v>
      </c>
    </row>
    <row r="23" spans="1:18" x14ac:dyDescent="0.3">
      <c r="A23" t="s">
        <v>72</v>
      </c>
      <c r="B23">
        <v>2.23638866327624</v>
      </c>
      <c r="C23">
        <v>0.52475705166367603</v>
      </c>
      <c r="D23">
        <v>4.2617600967648901</v>
      </c>
      <c r="E23">
        <v>2.02823111996049E-5</v>
      </c>
      <c r="F23" t="s">
        <v>145</v>
      </c>
      <c r="G23">
        <v>9.3594699842907207</v>
      </c>
      <c r="H23">
        <v>3.34633207167944</v>
      </c>
      <c r="I23">
        <v>26.1778199265427</v>
      </c>
      <c r="J23" t="str">
        <f t="shared" si="0"/>
        <v>9.36 (3.35-26.18)</v>
      </c>
      <c r="K23" t="s">
        <v>141</v>
      </c>
      <c r="L23">
        <v>2.6364580394495598</v>
      </c>
      <c r="M23">
        <v>4.1753050118426502</v>
      </c>
      <c r="N23">
        <v>1.66075977276237</v>
      </c>
      <c r="O23">
        <v>20.572326529211999</v>
      </c>
      <c r="P23">
        <v>4</v>
      </c>
      <c r="Q23">
        <v>3.8487737571515299E-4</v>
      </c>
      <c r="R23" t="s">
        <v>142</v>
      </c>
    </row>
    <row r="24" spans="1:18" x14ac:dyDescent="0.3">
      <c r="A24" t="s">
        <v>73</v>
      </c>
      <c r="B24">
        <v>-0.17279735538848001</v>
      </c>
      <c r="C24">
        <v>0.26493897062636201</v>
      </c>
      <c r="D24">
        <v>-0.652215696996015</v>
      </c>
      <c r="E24">
        <v>0.51426203513479996</v>
      </c>
      <c r="F24" t="s">
        <v>146</v>
      </c>
      <c r="G24">
        <v>0.84130808412157498</v>
      </c>
      <c r="H24">
        <v>0.50053500740079804</v>
      </c>
      <c r="I24">
        <v>1.41408549240903</v>
      </c>
      <c r="J24" t="str">
        <f t="shared" si="0"/>
        <v>0.84 (0.5-1.41)</v>
      </c>
      <c r="K24" t="s">
        <v>147</v>
      </c>
      <c r="L24">
        <v>1.5177519648740301</v>
      </c>
      <c r="M24">
        <v>1.7791140857188099</v>
      </c>
      <c r="N24">
        <v>1.3184261369643999</v>
      </c>
      <c r="O24">
        <v>18.807008684325201</v>
      </c>
      <c r="P24">
        <v>4</v>
      </c>
      <c r="Q24">
        <v>8.5760954587242599E-4</v>
      </c>
      <c r="R24" t="s">
        <v>148</v>
      </c>
    </row>
    <row r="25" spans="1:18" x14ac:dyDescent="0.3">
      <c r="A25" t="s">
        <v>74</v>
      </c>
      <c r="B25">
        <v>-1.4868842959342999E-2</v>
      </c>
      <c r="C25">
        <v>0.342745046606725</v>
      </c>
      <c r="D25">
        <v>-4.3381642146396698E-2</v>
      </c>
      <c r="E25">
        <v>0.96539731136834706</v>
      </c>
      <c r="F25" t="s">
        <v>149</v>
      </c>
      <c r="G25">
        <v>0.985241152443179</v>
      </c>
      <c r="H25">
        <v>0.50325960217896104</v>
      </c>
      <c r="I25">
        <v>1.9288258470672499</v>
      </c>
      <c r="J25" t="str">
        <f t="shared" si="0"/>
        <v>0.99 (0.5-1.93)</v>
      </c>
      <c r="K25" t="s">
        <v>147</v>
      </c>
      <c r="L25">
        <v>1.5177519648740301</v>
      </c>
      <c r="M25">
        <v>1.7791140857188099</v>
      </c>
      <c r="N25">
        <v>1.7791140857188099</v>
      </c>
      <c r="O25">
        <v>18.807008684325201</v>
      </c>
      <c r="P25">
        <v>4</v>
      </c>
      <c r="Q25">
        <v>8.5760954587242599E-4</v>
      </c>
      <c r="R25" t="s">
        <v>148</v>
      </c>
    </row>
    <row r="26" spans="1:18" x14ac:dyDescent="0.3">
      <c r="A26" t="s">
        <v>75</v>
      </c>
      <c r="B26">
        <v>0.66322519205140795</v>
      </c>
      <c r="C26">
        <v>0.43640681369880402</v>
      </c>
      <c r="D26">
        <v>1.5197406897252299</v>
      </c>
      <c r="E26">
        <v>0.128576160745696</v>
      </c>
      <c r="F26" t="s">
        <v>150</v>
      </c>
      <c r="G26">
        <v>1.9410424848100101</v>
      </c>
      <c r="H26">
        <v>0.82519780083403205</v>
      </c>
      <c r="I26">
        <v>4.5657488713971901</v>
      </c>
      <c r="J26" t="str">
        <f t="shared" si="0"/>
        <v>1.94 (0.83-4.57)</v>
      </c>
      <c r="K26" t="s">
        <v>147</v>
      </c>
      <c r="L26">
        <v>1.5177519648740301</v>
      </c>
      <c r="M26">
        <v>1.7791140857188099</v>
      </c>
      <c r="N26">
        <v>1.4539288135281301</v>
      </c>
      <c r="O26">
        <v>18.807008684325201</v>
      </c>
      <c r="P26">
        <v>4</v>
      </c>
      <c r="Q26">
        <v>8.5760954587242599E-4</v>
      </c>
      <c r="R26" t="s">
        <v>148</v>
      </c>
    </row>
    <row r="27" spans="1:18" x14ac:dyDescent="0.3">
      <c r="A27" t="s">
        <v>76</v>
      </c>
      <c r="B27">
        <v>1.4076340058083801</v>
      </c>
      <c r="C27">
        <v>0.40341257723349699</v>
      </c>
      <c r="D27">
        <v>3.4893161127042198</v>
      </c>
      <c r="E27">
        <v>4.8425811161900998E-4</v>
      </c>
      <c r="F27" t="s">
        <v>151</v>
      </c>
      <c r="G27">
        <v>4.0862758527725198</v>
      </c>
      <c r="H27">
        <v>1.8532583394140101</v>
      </c>
      <c r="I27">
        <v>9.0098881466420195</v>
      </c>
      <c r="J27" t="str">
        <f t="shared" si="0"/>
        <v>4.09 (1.85-9.01)</v>
      </c>
      <c r="K27" t="s">
        <v>147</v>
      </c>
      <c r="L27">
        <v>1.5177519648740301</v>
      </c>
      <c r="M27">
        <v>1.7791140857188099</v>
      </c>
      <c r="N27">
        <v>1.51953882328476</v>
      </c>
      <c r="O27">
        <v>18.807008684325201</v>
      </c>
      <c r="P27">
        <v>4</v>
      </c>
      <c r="Q27">
        <v>8.5760954587242599E-4</v>
      </c>
      <c r="R27" t="s">
        <v>148</v>
      </c>
    </row>
    <row r="28" spans="1:18" x14ac:dyDescent="0.3">
      <c r="A28" t="s">
        <v>77</v>
      </c>
      <c r="B28">
        <v>-1.12088185699339</v>
      </c>
      <c r="C28">
        <v>0.43981900956896602</v>
      </c>
      <c r="D28">
        <v>-2.54850707360713</v>
      </c>
      <c r="E28">
        <v>1.0818509285247699E-2</v>
      </c>
      <c r="F28" t="s">
        <v>152</v>
      </c>
      <c r="G28">
        <v>0.32599218933635399</v>
      </c>
      <c r="H28">
        <v>0.13766568358434</v>
      </c>
      <c r="I28">
        <v>0.77194915058990399</v>
      </c>
      <c r="J28" t="str">
        <f t="shared" si="0"/>
        <v>0.33 (0.14-0.77)</v>
      </c>
      <c r="K28" t="s">
        <v>153</v>
      </c>
      <c r="L28">
        <v>3.1057054125815902</v>
      </c>
      <c r="M28">
        <v>4.3630380936581998</v>
      </c>
      <c r="N28">
        <v>3.7899859718311899</v>
      </c>
      <c r="O28">
        <v>15.7710247286479</v>
      </c>
      <c r="P28">
        <v>4</v>
      </c>
      <c r="Q28">
        <v>3.34231954604921E-3</v>
      </c>
      <c r="R28" t="s">
        <v>154</v>
      </c>
    </row>
    <row r="29" spans="1:18" x14ac:dyDescent="0.3">
      <c r="A29" t="s">
        <v>78</v>
      </c>
      <c r="B29">
        <v>0.37290882758306998</v>
      </c>
      <c r="C29">
        <v>0.38240868235789799</v>
      </c>
      <c r="D29">
        <v>0.97515784757748503</v>
      </c>
      <c r="E29">
        <v>0.32948196767604399</v>
      </c>
      <c r="F29" t="s">
        <v>155</v>
      </c>
      <c r="G29">
        <v>1.4519519558289</v>
      </c>
      <c r="H29">
        <v>0.68618213070590695</v>
      </c>
      <c r="I29">
        <v>3.0723103789756401</v>
      </c>
      <c r="J29" t="str">
        <f t="shared" si="0"/>
        <v>1.45 (0.69-3.07)</v>
      </c>
      <c r="K29" t="s">
        <v>153</v>
      </c>
      <c r="L29">
        <v>3.1057054125815902</v>
      </c>
      <c r="M29">
        <v>4.3630380936581998</v>
      </c>
      <c r="N29">
        <v>2.50484000036335</v>
      </c>
      <c r="O29">
        <v>15.7710247286479</v>
      </c>
      <c r="P29">
        <v>4</v>
      </c>
      <c r="Q29">
        <v>3.34231954604921E-3</v>
      </c>
      <c r="R29" t="s">
        <v>154</v>
      </c>
    </row>
    <row r="30" spans="1:18" x14ac:dyDescent="0.3">
      <c r="A30" t="s">
        <v>79</v>
      </c>
      <c r="B30">
        <v>-1.07521687612228</v>
      </c>
      <c r="C30">
        <v>1.02042737514101</v>
      </c>
      <c r="D30">
        <v>-1.0536927000549099</v>
      </c>
      <c r="E30">
        <v>0.2920236321768</v>
      </c>
      <c r="F30" t="s">
        <v>156</v>
      </c>
      <c r="G30">
        <v>0.34122374399321498</v>
      </c>
      <c r="H30">
        <v>4.6177873167063399E-2</v>
      </c>
      <c r="I30">
        <v>2.52141632949423</v>
      </c>
      <c r="J30" t="str">
        <f t="shared" si="0"/>
        <v>0.34 (0.05-2.52)</v>
      </c>
      <c r="K30" t="s">
        <v>153</v>
      </c>
      <c r="L30">
        <v>3.1057054125815902</v>
      </c>
      <c r="M30">
        <v>4.3630380936581998</v>
      </c>
      <c r="N30">
        <v>4.3630380936581998</v>
      </c>
      <c r="O30">
        <v>15.7710247286479</v>
      </c>
      <c r="P30">
        <v>4</v>
      </c>
      <c r="Q30">
        <v>3.34231954604921E-3</v>
      </c>
      <c r="R30" t="s">
        <v>154</v>
      </c>
    </row>
    <row r="31" spans="1:18" x14ac:dyDescent="0.3">
      <c r="A31" t="s">
        <v>80</v>
      </c>
      <c r="B31">
        <v>-1.48327816767359</v>
      </c>
      <c r="C31">
        <v>0.61408475392748396</v>
      </c>
      <c r="D31">
        <v>-2.4154290725946801</v>
      </c>
      <c r="E31">
        <v>1.5716683151549199E-2</v>
      </c>
      <c r="F31" t="s">
        <v>157</v>
      </c>
      <c r="G31">
        <v>0.22689267567792901</v>
      </c>
      <c r="H31">
        <v>6.80927668331585E-2</v>
      </c>
      <c r="I31">
        <v>0.75603164139925705</v>
      </c>
      <c r="J31" t="str">
        <f t="shared" si="0"/>
        <v>0.23 (0.07-0.76)</v>
      </c>
      <c r="K31" t="s">
        <v>153</v>
      </c>
      <c r="L31">
        <v>3.1057054125815902</v>
      </c>
      <c r="M31">
        <v>4.3630380936581998</v>
      </c>
      <c r="N31">
        <v>1.76495758447364</v>
      </c>
      <c r="O31">
        <v>15.7710247286479</v>
      </c>
      <c r="P31">
        <v>4</v>
      </c>
      <c r="Q31">
        <v>3.34231954604921E-3</v>
      </c>
      <c r="R31" t="s">
        <v>154</v>
      </c>
    </row>
    <row r="32" spans="1:18" x14ac:dyDescent="0.3">
      <c r="A32" t="s">
        <v>81</v>
      </c>
      <c r="B32">
        <v>5.3066714881099E-2</v>
      </c>
      <c r="C32">
        <v>0.55610826755856502</v>
      </c>
      <c r="D32">
        <v>9.5425150059489899E-2</v>
      </c>
      <c r="E32">
        <v>0.92397714036758805</v>
      </c>
      <c r="F32" t="s">
        <v>158</v>
      </c>
      <c r="G32">
        <v>1.05449999361438</v>
      </c>
      <c r="H32">
        <v>0.354550145258613</v>
      </c>
      <c r="I32">
        <v>3.1362848144418001</v>
      </c>
      <c r="J32" t="str">
        <f t="shared" si="0"/>
        <v>1.05 (0.35-3.14)</v>
      </c>
      <c r="K32" t="s">
        <v>159</v>
      </c>
      <c r="L32">
        <v>5.6761859097595</v>
      </c>
      <c r="M32">
        <v>11.085048769262301</v>
      </c>
      <c r="N32">
        <v>6.4832911268164404</v>
      </c>
      <c r="O32">
        <v>38.433389713056599</v>
      </c>
      <c r="P32">
        <v>4</v>
      </c>
      <c r="Q32">
        <v>9.12022640175782E-8</v>
      </c>
      <c r="R32" t="s">
        <v>160</v>
      </c>
    </row>
    <row r="33" spans="1:18" x14ac:dyDescent="0.3">
      <c r="A33" t="s">
        <v>82</v>
      </c>
      <c r="B33">
        <v>1.83919512165608</v>
      </c>
      <c r="C33">
        <v>0.64138878548793998</v>
      </c>
      <c r="D33">
        <v>2.8675199243730098</v>
      </c>
      <c r="E33">
        <v>4.1370275437948604E-3</v>
      </c>
      <c r="F33" t="s">
        <v>161</v>
      </c>
      <c r="G33">
        <v>6.2914723527320904</v>
      </c>
      <c r="H33">
        <v>1.7897449113999799</v>
      </c>
      <c r="I33">
        <v>22.116349717251001</v>
      </c>
      <c r="J33" t="str">
        <f t="shared" si="0"/>
        <v>6.29 (1.79-22.12)</v>
      </c>
      <c r="K33" t="s">
        <v>159</v>
      </c>
      <c r="L33">
        <v>5.6761859097595</v>
      </c>
      <c r="M33">
        <v>11.085048769262301</v>
      </c>
      <c r="N33">
        <v>3.1165620926976101</v>
      </c>
      <c r="O33">
        <v>38.433389713056599</v>
      </c>
      <c r="P33">
        <v>4</v>
      </c>
      <c r="Q33">
        <v>9.12022640175782E-8</v>
      </c>
      <c r="R33" t="s">
        <v>160</v>
      </c>
    </row>
    <row r="34" spans="1:18" x14ac:dyDescent="0.3">
      <c r="A34" t="s">
        <v>83</v>
      </c>
      <c r="B34">
        <v>1.6244229228554501</v>
      </c>
      <c r="C34">
        <v>1.37721324881879</v>
      </c>
      <c r="D34">
        <v>1.1794999243934701</v>
      </c>
      <c r="E34">
        <v>0.238199166786105</v>
      </c>
      <c r="F34" t="s">
        <v>162</v>
      </c>
      <c r="G34">
        <v>5.0754892430631902</v>
      </c>
      <c r="H34">
        <v>0.341326751541698</v>
      </c>
      <c r="I34">
        <v>75.471936905312006</v>
      </c>
      <c r="J34" t="str">
        <f t="shared" si="0"/>
        <v>5.08 (0.34-75.47)</v>
      </c>
      <c r="K34" t="s">
        <v>159</v>
      </c>
      <c r="L34">
        <v>5.6761859097595</v>
      </c>
      <c r="M34">
        <v>11.085048769262301</v>
      </c>
      <c r="N34">
        <v>11.085048769262301</v>
      </c>
      <c r="O34">
        <v>38.433389713056599</v>
      </c>
      <c r="P34">
        <v>4</v>
      </c>
      <c r="Q34">
        <v>9.12022640175782E-8</v>
      </c>
      <c r="R34" t="s">
        <v>160</v>
      </c>
    </row>
    <row r="35" spans="1:18" x14ac:dyDescent="0.3">
      <c r="A35" t="s">
        <v>84</v>
      </c>
      <c r="B35">
        <v>2.7940473351072801</v>
      </c>
      <c r="C35">
        <v>1.2635826610466001</v>
      </c>
      <c r="D35">
        <v>2.2112105691550199</v>
      </c>
      <c r="E35">
        <v>2.70212588265938E-2</v>
      </c>
      <c r="F35" t="s">
        <v>163</v>
      </c>
      <c r="G35">
        <v>16.347048073952902</v>
      </c>
      <c r="H35">
        <v>1.3735866608357299</v>
      </c>
      <c r="I35">
        <v>194.546138479197</v>
      </c>
      <c r="J35" t="str">
        <f t="shared" si="0"/>
        <v>16.35 (1.37-194.55)</v>
      </c>
      <c r="K35" t="s">
        <v>159</v>
      </c>
      <c r="L35">
        <v>5.6761859097595</v>
      </c>
      <c r="M35">
        <v>11.085048769262301</v>
      </c>
      <c r="N35">
        <v>2.0198416502616299</v>
      </c>
      <c r="O35">
        <v>38.433389713056599</v>
      </c>
      <c r="P35">
        <v>4</v>
      </c>
      <c r="Q35">
        <v>9.12022640175782E-8</v>
      </c>
      <c r="R35" t="s">
        <v>160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2025-10-13T07:43:04Z</dcterms:created>
  <dcterms:modified xsi:type="dcterms:W3CDTF">2025-10-15T05:48:00Z</dcterms:modified>
</cp:coreProperties>
</file>