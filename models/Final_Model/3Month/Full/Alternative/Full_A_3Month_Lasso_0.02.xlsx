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3Month\Full\Alternative\"/>
    </mc:Choice>
  </mc:AlternateContent>
  <xr:revisionPtr revIDLastSave="0" documentId="13_ncr:1_{C944E2A9-A166-4388-84EE-59DCFD3A0EE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</calcChain>
</file>

<file path=xl/sharedStrings.xml><?xml version="1.0" encoding="utf-8"?>
<sst xmlns="http://schemas.openxmlformats.org/spreadsheetml/2006/main" count="253" uniqueCount="155">
  <si>
    <t>Item</t>
  </si>
  <si>
    <t>Value</t>
  </si>
  <si>
    <t>Formula</t>
  </si>
  <si>
    <t>GOSE_3_Unfav ~ Age + InjuryHx.InjCause + arr_GCS_derived + arr_pp_prompt + head_neck_AIS + EDH + contusion + SAH + IVH + MidlineShift + basal_cistern_compression + ns(Alk.Phosphatase, df = 4) + ns(CRP, df = 4) + ns(Sodium, df = 4) + ns(aPTT, df = 4)</t>
  </si>
  <si>
    <t>N_total</t>
  </si>
  <si>
    <t>2310</t>
  </si>
  <si>
    <t>Pos_Level</t>
  </si>
  <si>
    <t>1</t>
  </si>
  <si>
    <t>Penalty</t>
  </si>
  <si>
    <t>lasso</t>
  </si>
  <si>
    <t>Alpha</t>
  </si>
  <si>
    <t>Lambda_Chosen</t>
  </si>
  <si>
    <t>0.02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</si>
  <si>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</si>
  <si>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</si>
  <si>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</si>
  <si>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</si>
  <si>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</si>
  <si>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</si>
  <si>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</si>
  <si>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</si>
  <si>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</si>
  <si>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</si>
  <si>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</si>
  <si>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</si>
  <si>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</si>
  <si>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</si>
  <si>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</si>
  <si>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</si>
  <si>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</si>
  <si>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</si>
  <si>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</si>
  <si>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</si>
  <si>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</si>
  <si>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</si>
  <si>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</si>
  <si>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</si>
  <si>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</si>
  <si>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</si>
  <si>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</si>
  <si>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</si>
  <si>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</si>
  <si>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</si>
  <si>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</si>
  <si>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</si>
  <si>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</si>
  <si>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</si>
  <si>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</si>
  <si>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</si>
  <si>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</si>
  <si>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</si>
  <si>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</si>
  <si>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</si>
  <si>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</si>
  <si>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</si>
  <si>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</si>
  <si>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</si>
  <si>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</si>
  <si>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</si>
  <si>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</si>
  <si>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</si>
  <si>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</si>
  <si>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</si>
  <si>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</si>
  <si>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</si>
  <si>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ns(Alk.Phosphatase, df = 4)1</t>
  </si>
  <si>
    <t>ns(Alk.Phosphatase, df = 4)2</t>
  </si>
  <si>
    <t>ns(Alk.Phosphatase, df = 4)3</t>
  </si>
  <si>
    <t>ns(Alk.Phosphatase, df = 4)4</t>
  </si>
  <si>
    <t>ns(CRP, df = 4)1</t>
  </si>
  <si>
    <t>ns(CRP, df = 4)2</t>
  </si>
  <si>
    <t>ns(CRP, df = 4)3</t>
  </si>
  <si>
    <t>ns(CRP, df = 4)4</t>
  </si>
  <si>
    <t>ns(Sodium, df = 4)1</t>
  </si>
  <si>
    <t>ns(Sodium, df = 4)2</t>
  </si>
  <si>
    <t>ns(Sodium, df = 4)3</t>
  </si>
  <si>
    <t>ns(Sodium, df = 4)4</t>
  </si>
  <si>
    <t>ns(aPTT, df = 4)1</t>
  </si>
  <si>
    <t>ns(aPTT, df = 4)2</t>
  </si>
  <si>
    <t>ns(aPTT, df = 4)3</t>
  </si>
  <si>
    <t>ns(aPTT,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</si>
  <si>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</si>
  <si>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</si>
  <si>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</si>
  <si>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</si>
  <si>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</si>
  <si>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</si>
  <si>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</si>
  <si>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</si>
  <si>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</si>
  <si>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</si>
  <si>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</si>
  <si>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</si>
  <si>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</si>
  <si>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</si>
  <si>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6.79e-14</t>
  </si>
  <si>
    <t>1.13e-14</t>
  </si>
  <si>
    <t>0.302</t>
  </si>
  <si>
    <t>InjuryHx.InjCause</t>
  </si>
  <si>
    <t>0.0381</t>
  </si>
  <si>
    <t>0.111</t>
  </si>
  <si>
    <t>0.0844</t>
  </si>
  <si>
    <t>&lt; 1e-16</t>
  </si>
  <si>
    <t>5.55e-10</t>
  </si>
  <si>
    <t>arr_pp_prompt</t>
  </si>
  <si>
    <t>9.49e-11</t>
  </si>
  <si>
    <t>0.000311</t>
  </si>
  <si>
    <t>head_neck_AIS</t>
  </si>
  <si>
    <t>2.13e-16</t>
  </si>
  <si>
    <t>1.38e-16</t>
  </si>
  <si>
    <t>1.29e-07</t>
  </si>
  <si>
    <t>EDH</t>
  </si>
  <si>
    <t>7.88e-08</t>
  </si>
  <si>
    <t>0.000604</t>
  </si>
  <si>
    <t>contusion</t>
  </si>
  <si>
    <t>0.000553</t>
  </si>
  <si>
    <t>0.000159</t>
  </si>
  <si>
    <t>SAH</t>
  </si>
  <si>
    <t>0.000139</t>
  </si>
  <si>
    <t>0.00818</t>
  </si>
  <si>
    <t>IVH</t>
  </si>
  <si>
    <t>0.0079</t>
  </si>
  <si>
    <t>0.00295</t>
  </si>
  <si>
    <t>MidlineShift</t>
  </si>
  <si>
    <t>0.00287</t>
  </si>
  <si>
    <t>0.000257</t>
  </si>
  <si>
    <t>basal_cistern_compression</t>
  </si>
  <si>
    <t>0.000246</t>
  </si>
  <si>
    <t>0.0254</t>
  </si>
  <si>
    <t>ns(Alk.Phosphatase, df = 4)</t>
  </si>
  <si>
    <t>0.000149</t>
  </si>
  <si>
    <t>0.519</t>
  </si>
  <si>
    <t>0.00373</t>
  </si>
  <si>
    <t>1.38e-05</t>
  </si>
  <si>
    <t>0.6</t>
  </si>
  <si>
    <t>ns(CRP, df = 4)</t>
  </si>
  <si>
    <t>0.000667</t>
  </si>
  <si>
    <t>0.856</t>
  </si>
  <si>
    <t>0.0868</t>
  </si>
  <si>
    <t>0.000382</t>
  </si>
  <si>
    <t>0.0155</t>
  </si>
  <si>
    <t>ns(Sodium, df = 4)</t>
  </si>
  <si>
    <t>0.00486</t>
  </si>
  <si>
    <t>0.325</t>
  </si>
  <si>
    <t>0.346</t>
  </si>
  <si>
    <t>0.0162</t>
  </si>
  <si>
    <t>0.943</t>
  </si>
  <si>
    <t>ns(aPTT, df = 4)</t>
  </si>
  <si>
    <t>2.79e-10</t>
  </si>
  <si>
    <t>0.000966</t>
  </si>
  <si>
    <t>0.189</t>
  </si>
  <si>
    <t>0.0164</t>
  </si>
  <si>
    <t>JSON</t>
  </si>
  <si>
    <t>{"formula":"GOSE_3_Unfav ~ Age + InjuryHx.InjCause + arr_GCS_derived + arr_pp_prompt + head_neck_AIS + EDH + contusion + SAH + IVH + MidlineShift + basal_cistern_compression + ns(Alk.Phosphatase, df = 4) + ns(CRP, df = 4) + ns(Sodium, df = 4) + ns(aPTT, df = 4)","penalty":"lasso","alpha":1,"lambda":0.02,"x_names":["Age","InjuryHx.InjCause1","InjuryHx.InjCause3","InjuryHx.InjCause88","arr_GCS_derived","arr_pp_promptbilateral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4)4","ns(Sodium, df = 4)1","ns(Sodium, df = 4)2","ns(Sodium, df = 4)3","ns(Sodium, df = 4)4","ns(aPTT, df = 4)1","ns(aPTT, df = 4)2","ns(aPTT, df = 4)3","ns(aPTT, df = 4)4"],"train_test":false,"test_prop":{},"split_seed":{},"standardize":true,"threshold":0.5,"family":"binomial","link":"logit"}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</si>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</sst>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2310</v>
      </c>
      <c r="C2">
        <v>963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0.90869999999999995</v>
      </c>
    </row>
    <row r="3" spans="1:2" x14ac:dyDescent="0.3">
      <c r="A3" t="s">
        <v>30</v>
      </c>
      <c r="B3">
        <v>0.83379999999999999</v>
      </c>
    </row>
    <row r="4" spans="1:2" x14ac:dyDescent="0.3">
      <c r="A4" t="s">
        <v>31</v>
      </c>
      <c r="B4">
        <v>0.75600000000000001</v>
      </c>
    </row>
    <row r="5" spans="1:2" x14ac:dyDescent="0.3">
      <c r="A5" t="s">
        <v>32</v>
      </c>
      <c r="B5">
        <v>0.83009999999999995</v>
      </c>
    </row>
    <row r="6" spans="1:2" x14ac:dyDescent="0.3">
      <c r="A6" t="s">
        <v>33</v>
      </c>
      <c r="B6">
        <v>0.7913</v>
      </c>
    </row>
    <row r="7" spans="1:2" x14ac:dyDescent="0.3">
      <c r="A7" t="s">
        <v>34</v>
      </c>
      <c r="B7">
        <v>0.43269999999999997</v>
      </c>
    </row>
    <row r="8" spans="1:2" x14ac:dyDescent="0.3">
      <c r="A8" t="s">
        <v>35</v>
      </c>
      <c r="B8">
        <v>1816.1769999999999</v>
      </c>
    </row>
    <row r="9" spans="1:2" x14ac:dyDescent="0.3">
      <c r="A9" t="s">
        <v>36</v>
      </c>
      <c r="B9">
        <v>0.1198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-1.7044508205635201E-8</v>
      </c>
      <c r="C2">
        <v>5.44925504959443E-2</v>
      </c>
      <c r="D2">
        <v>-3.1278602397044598E-7</v>
      </c>
      <c r="E2">
        <v>0.99999975043286105</v>
      </c>
      <c r="F2">
        <v>-0.106805416016559</v>
      </c>
      <c r="G2">
        <v>0.10680538192754301</v>
      </c>
    </row>
    <row r="3" spans="1:7" x14ac:dyDescent="0.3">
      <c r="A3" t="s">
        <v>45</v>
      </c>
      <c r="B3">
        <v>1.3311537894357699</v>
      </c>
      <c r="C3">
        <v>5.2181649127223499E-2</v>
      </c>
      <c r="D3">
        <v>25.509998470732601</v>
      </c>
      <c r="E3">
        <v>1.5269383913449101E-143</v>
      </c>
      <c r="F3">
        <v>1.22887775714642</v>
      </c>
      <c r="G3">
        <v>1.43342982172513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-0.86890411463297601</v>
      </c>
    </row>
    <row r="3" spans="1:3" x14ac:dyDescent="0.3">
      <c r="A3" t="s">
        <v>49</v>
      </c>
      <c r="B3" t="s">
        <v>51</v>
      </c>
      <c r="C3">
        <v>2.1040898523384501E-2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-1.11355234386484E-2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-0.14866206018417999</v>
      </c>
    </row>
    <row r="8" spans="1:3" x14ac:dyDescent="0.3">
      <c r="A8" t="s">
        <v>49</v>
      </c>
      <c r="B8" t="s">
        <v>56</v>
      </c>
      <c r="C8">
        <v>1.0084835439531901</v>
      </c>
    </row>
    <row r="9" spans="1:3" x14ac:dyDescent="0.3">
      <c r="A9" t="s">
        <v>49</v>
      </c>
      <c r="B9" t="s">
        <v>57</v>
      </c>
      <c r="C9">
        <v>7.9596352829692102E-2</v>
      </c>
    </row>
    <row r="10" spans="1:3" x14ac:dyDescent="0.3">
      <c r="A10" t="s">
        <v>49</v>
      </c>
      <c r="B10" t="s">
        <v>58</v>
      </c>
      <c r="C10">
        <v>0.93643053196982695</v>
      </c>
    </row>
    <row r="11" spans="1:3" x14ac:dyDescent="0.3">
      <c r="A11" t="s">
        <v>49</v>
      </c>
      <c r="B11" t="s">
        <v>59</v>
      </c>
      <c r="C11">
        <v>-0.37022253828948698</v>
      </c>
    </row>
    <row r="12" spans="1:3" x14ac:dyDescent="0.3">
      <c r="A12" t="s">
        <v>49</v>
      </c>
      <c r="B12" t="s">
        <v>60</v>
      </c>
      <c r="C12">
        <v>0.22173555883426499</v>
      </c>
    </row>
    <row r="13" spans="1:3" x14ac:dyDescent="0.3">
      <c r="A13" t="s">
        <v>49</v>
      </c>
      <c r="B13" t="s">
        <v>61</v>
      </c>
      <c r="C13">
        <v>0.34256805807803498</v>
      </c>
    </row>
    <row r="14" spans="1:3" x14ac:dyDescent="0.3">
      <c r="A14" t="s">
        <v>49</v>
      </c>
      <c r="B14" t="s">
        <v>62</v>
      </c>
      <c r="C14">
        <v>0.26679983315010602</v>
      </c>
    </row>
    <row r="15" spans="1:3" x14ac:dyDescent="0.3">
      <c r="A15" t="s">
        <v>49</v>
      </c>
      <c r="B15" t="s">
        <v>63</v>
      </c>
      <c r="C15">
        <v>0.34212270724740801</v>
      </c>
    </row>
    <row r="16" spans="1:3" x14ac:dyDescent="0.3">
      <c r="A16" t="s">
        <v>49</v>
      </c>
      <c r="B16" t="s">
        <v>64</v>
      </c>
      <c r="C16">
        <v>0.48886925746270399</v>
      </c>
    </row>
    <row r="17" spans="1:3" x14ac:dyDescent="0.3">
      <c r="A17" t="s">
        <v>49</v>
      </c>
      <c r="B17" t="s">
        <v>65</v>
      </c>
      <c r="C17">
        <v>0</v>
      </c>
    </row>
    <row r="18" spans="1:3" x14ac:dyDescent="0.3">
      <c r="A18" t="s">
        <v>49</v>
      </c>
      <c r="B18" t="s">
        <v>66</v>
      </c>
      <c r="C18">
        <v>0</v>
      </c>
    </row>
    <row r="19" spans="1:3" x14ac:dyDescent="0.3">
      <c r="A19" t="s">
        <v>49</v>
      </c>
      <c r="B19" t="s">
        <v>67</v>
      </c>
      <c r="C19">
        <v>0</v>
      </c>
    </row>
    <row r="20" spans="1:3" x14ac:dyDescent="0.3">
      <c r="A20" t="s">
        <v>49</v>
      </c>
      <c r="B20" t="s">
        <v>68</v>
      </c>
      <c r="C20">
        <v>0.47810117631813698</v>
      </c>
    </row>
    <row r="21" spans="1:3" x14ac:dyDescent="0.3">
      <c r="A21" t="s">
        <v>49</v>
      </c>
      <c r="B21" t="s">
        <v>69</v>
      </c>
      <c r="C21">
        <v>0</v>
      </c>
    </row>
    <row r="22" spans="1:3" x14ac:dyDescent="0.3">
      <c r="A22" t="s">
        <v>49</v>
      </c>
      <c r="B22" t="s">
        <v>70</v>
      </c>
      <c r="C22">
        <v>0</v>
      </c>
    </row>
    <row r="23" spans="1:3" x14ac:dyDescent="0.3">
      <c r="A23" t="s">
        <v>49</v>
      </c>
      <c r="B23" t="s">
        <v>71</v>
      </c>
      <c r="C23">
        <v>0</v>
      </c>
    </row>
    <row r="24" spans="1:3" x14ac:dyDescent="0.3">
      <c r="A24" t="s">
        <v>49</v>
      </c>
      <c r="B24" t="s">
        <v>72</v>
      </c>
      <c r="C24">
        <v>0.63150070992297103</v>
      </c>
    </row>
    <row r="25" spans="1:3" x14ac:dyDescent="0.3">
      <c r="A25" t="s">
        <v>49</v>
      </c>
      <c r="B25" t="s">
        <v>73</v>
      </c>
      <c r="C25">
        <v>-0.166976221456411</v>
      </c>
    </row>
    <row r="26" spans="1:3" x14ac:dyDescent="0.3">
      <c r="A26" t="s">
        <v>49</v>
      </c>
      <c r="B26" t="s">
        <v>74</v>
      </c>
      <c r="C26">
        <v>0</v>
      </c>
    </row>
    <row r="27" spans="1:3" x14ac:dyDescent="0.3">
      <c r="A27" t="s">
        <v>49</v>
      </c>
      <c r="B27" t="s">
        <v>75</v>
      </c>
      <c r="C27">
        <v>0</v>
      </c>
    </row>
    <row r="28" spans="1:3" x14ac:dyDescent="0.3">
      <c r="A28" t="s">
        <v>49</v>
      </c>
      <c r="B28" t="s">
        <v>76</v>
      </c>
      <c r="C28">
        <v>0</v>
      </c>
    </row>
    <row r="29" spans="1:3" x14ac:dyDescent="0.3">
      <c r="A29" t="s">
        <v>49</v>
      </c>
      <c r="B29" t="s">
        <v>77</v>
      </c>
      <c r="C29">
        <v>0</v>
      </c>
    </row>
    <row r="30" spans="1:3" x14ac:dyDescent="0.3">
      <c r="A30" t="s">
        <v>49</v>
      </c>
      <c r="B30" t="s">
        <v>78</v>
      </c>
      <c r="C30">
        <v>1.4315164088050001</v>
      </c>
    </row>
    <row r="31" spans="1:3" x14ac:dyDescent="0.3">
      <c r="A31" t="s">
        <v>49</v>
      </c>
      <c r="B31" t="s">
        <v>79</v>
      </c>
      <c r="C31">
        <v>0</v>
      </c>
    </row>
    <row r="32" spans="1:3" x14ac:dyDescent="0.3">
      <c r="A32" t="s">
        <v>49</v>
      </c>
      <c r="B32" t="s">
        <v>80</v>
      </c>
      <c r="C32">
        <v>0.52961940845806299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"/>
  <sheetViews>
    <sheetView tabSelected="1" topLeftCell="A12" workbookViewId="0">
      <pane xSplit="1" topLeftCell="E1" activePane="topRight" state="frozen"/>
      <selection pane="topRight" activeCell="R18" sqref="R18"/>
    </sheetView>
  </sheetViews>
  <sheetFormatPr defaultColWidth="11.5546875" defaultRowHeight="14.4" x14ac:dyDescent="0.3"/>
  <sheetData>
    <row r="1" spans="1:18" x14ac:dyDescent="0.3">
      <c r="A1" t="s">
        <v>81</v>
      </c>
      <c r="B1" t="s">
        <v>82</v>
      </c>
      <c r="C1" t="s">
        <v>83</v>
      </c>
      <c r="D1" t="s">
        <v>84</v>
      </c>
      <c r="E1" t="s">
        <v>41</v>
      </c>
      <c r="F1" t="s">
        <v>85</v>
      </c>
      <c r="G1" t="s">
        <v>86</v>
      </c>
      <c r="H1" t="s">
        <v>42</v>
      </c>
      <c r="I1" t="s">
        <v>43</v>
      </c>
      <c r="J1" t="s">
        <v>154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</row>
    <row r="2" spans="1:18" x14ac:dyDescent="0.3">
      <c r="A2" t="s">
        <v>51</v>
      </c>
      <c r="B2">
        <v>3.10129729837888E-2</v>
      </c>
      <c r="C2">
        <v>4.1395226899981E-3</v>
      </c>
      <c r="D2">
        <v>7.4919200367526102</v>
      </c>
      <c r="E2">
        <v>6.7873272332978096E-14</v>
      </c>
      <c r="F2" t="s">
        <v>95</v>
      </c>
      <c r="G2">
        <v>1.03149888541804</v>
      </c>
      <c r="H2">
        <v>1.02316371513599</v>
      </c>
      <c r="I2">
        <v>1.03990195789659</v>
      </c>
      <c r="J2" t="str">
        <f>_xlfn.CONCAT(ROUND(G2,3), " (", ROUND(H2,3), "-", ROUND(I2,3), ")")</f>
        <v>1.031 (1.023-1.04)</v>
      </c>
      <c r="K2" t="s">
        <v>51</v>
      </c>
      <c r="L2">
        <v>1.2233581557831701</v>
      </c>
      <c r="M2">
        <v>1.2233581557831701</v>
      </c>
      <c r="N2">
        <v>1.2233581557831701</v>
      </c>
      <c r="O2">
        <v>59.6489195510458</v>
      </c>
      <c r="P2">
        <v>1</v>
      </c>
      <c r="Q2">
        <v>1.1338149193751901E-14</v>
      </c>
      <c r="R2" t="s">
        <v>96</v>
      </c>
    </row>
    <row r="3" spans="1:18" x14ac:dyDescent="0.3">
      <c r="A3" t="s">
        <v>52</v>
      </c>
      <c r="B3">
        <v>0.14565844255516799</v>
      </c>
      <c r="C3">
        <v>0.14122673250543499</v>
      </c>
      <c r="D3">
        <v>1.03138010751302</v>
      </c>
      <c r="E3">
        <v>0.302362605576392</v>
      </c>
      <c r="F3" t="s">
        <v>97</v>
      </c>
      <c r="G3">
        <v>1.15680100657007</v>
      </c>
      <c r="H3">
        <v>0.87708975103175801</v>
      </c>
      <c r="I3">
        <v>1.52571452035251</v>
      </c>
      <c r="J3" t="str">
        <f t="shared" ref="J3:J31" si="0">_xlfn.CONCAT(ROUND(G3,2), " (", ROUND(H3,2), "-", ROUND(I3,2), ")")</f>
        <v>1.16 (0.88-1.53)</v>
      </c>
      <c r="K3" t="s">
        <v>98</v>
      </c>
      <c r="L3">
        <v>1.1697027223097001</v>
      </c>
      <c r="M3">
        <v>1.2690762776796001</v>
      </c>
      <c r="N3">
        <v>1.2690762776796001</v>
      </c>
      <c r="O3">
        <v>8.4209947600500108</v>
      </c>
      <c r="P3">
        <v>3</v>
      </c>
      <c r="Q3">
        <v>3.8066978247362999E-2</v>
      </c>
      <c r="R3" t="s">
        <v>99</v>
      </c>
    </row>
    <row r="4" spans="1:18" x14ac:dyDescent="0.3">
      <c r="A4" t="s">
        <v>53</v>
      </c>
      <c r="B4">
        <v>-0.50937317977188901</v>
      </c>
      <c r="C4">
        <v>0.31922655382924697</v>
      </c>
      <c r="D4">
        <v>-1.59564789852774</v>
      </c>
      <c r="E4">
        <v>0.11056742709187201</v>
      </c>
      <c r="F4" t="s">
        <v>100</v>
      </c>
      <c r="G4">
        <v>0.60087209958104604</v>
      </c>
      <c r="H4">
        <v>0.321403728390671</v>
      </c>
      <c r="I4">
        <v>1.1233450273360699</v>
      </c>
      <c r="J4" t="str">
        <f t="shared" si="0"/>
        <v>0.6 (0.32-1.12)</v>
      </c>
      <c r="K4" t="s">
        <v>98</v>
      </c>
      <c r="L4">
        <v>1.1697027223097001</v>
      </c>
      <c r="M4">
        <v>1.2690762776796001</v>
      </c>
      <c r="N4">
        <v>1.1403933271213</v>
      </c>
      <c r="O4">
        <v>8.4209947600500108</v>
      </c>
      <c r="P4">
        <v>3</v>
      </c>
      <c r="Q4">
        <v>3.8066978247362999E-2</v>
      </c>
      <c r="R4" t="s">
        <v>99</v>
      </c>
    </row>
    <row r="5" spans="1:18" x14ac:dyDescent="0.3">
      <c r="A5" t="s">
        <v>54</v>
      </c>
      <c r="B5">
        <v>-0.460253685166717</v>
      </c>
      <c r="C5">
        <v>0.26672310752145101</v>
      </c>
      <c r="D5">
        <v>-1.72558609354722</v>
      </c>
      <c r="E5">
        <v>8.4421902959217907E-2</v>
      </c>
      <c r="F5" t="s">
        <v>101</v>
      </c>
      <c r="G5">
        <v>0.631123518521849</v>
      </c>
      <c r="H5">
        <v>0.37417526216886099</v>
      </c>
      <c r="I5">
        <v>1.06451958721858</v>
      </c>
      <c r="J5" t="str">
        <f t="shared" si="0"/>
        <v>0.63 (0.37-1.06)</v>
      </c>
      <c r="K5" t="s">
        <v>98</v>
      </c>
      <c r="L5">
        <v>1.1697027223097001</v>
      </c>
      <c r="M5">
        <v>1.2690762776796001</v>
      </c>
      <c r="N5">
        <v>1.0996385621282201</v>
      </c>
      <c r="O5">
        <v>8.4209947600500108</v>
      </c>
      <c r="P5">
        <v>3</v>
      </c>
      <c r="Q5">
        <v>3.8066978247362999E-2</v>
      </c>
      <c r="R5" t="s">
        <v>99</v>
      </c>
    </row>
    <row r="6" spans="1:18" x14ac:dyDescent="0.3">
      <c r="A6" t="s">
        <v>55</v>
      </c>
      <c r="B6">
        <v>-0.15515969588860901</v>
      </c>
      <c r="C6">
        <v>1.8468167281582699E-2</v>
      </c>
      <c r="D6">
        <v>-8.4014668874772909</v>
      </c>
      <c r="E6">
        <v>4.4093551695773699E-17</v>
      </c>
      <c r="F6" t="s">
        <v>102</v>
      </c>
      <c r="G6">
        <v>0.85627842242072905</v>
      </c>
      <c r="H6">
        <v>0.82583746059899898</v>
      </c>
      <c r="I6">
        <v>0.88784145995450003</v>
      </c>
      <c r="J6" t="str">
        <f t="shared" si="0"/>
        <v>0.86 (0.83-0.89)</v>
      </c>
      <c r="K6" t="s">
        <v>55</v>
      </c>
      <c r="L6">
        <v>2.1393675211324199</v>
      </c>
      <c r="M6">
        <v>2.1393675211324199</v>
      </c>
      <c r="N6">
        <v>2.1393675211324199</v>
      </c>
      <c r="O6">
        <v>72.434079336486306</v>
      </c>
      <c r="P6">
        <v>1</v>
      </c>
      <c r="Q6">
        <v>1.7270562042041499E-17</v>
      </c>
      <c r="R6" t="s">
        <v>102</v>
      </c>
    </row>
    <row r="7" spans="1:18" x14ac:dyDescent="0.3">
      <c r="A7" t="s">
        <v>56</v>
      </c>
      <c r="B7">
        <v>1.30497652341935</v>
      </c>
      <c r="C7">
        <v>0.210385139656243</v>
      </c>
      <c r="D7">
        <v>6.2027979996667497</v>
      </c>
      <c r="E7">
        <v>5.5468017319926001E-10</v>
      </c>
      <c r="F7" t="s">
        <v>103</v>
      </c>
      <c r="G7">
        <v>3.68760252039083</v>
      </c>
      <c r="H7">
        <v>2.4415220838910701</v>
      </c>
      <c r="I7">
        <v>5.5696454429447302</v>
      </c>
      <c r="J7" t="str">
        <f t="shared" si="0"/>
        <v>3.69 (2.44-5.57)</v>
      </c>
      <c r="K7" t="s">
        <v>104</v>
      </c>
      <c r="L7">
        <v>1.65100996430999</v>
      </c>
      <c r="M7">
        <v>1.65100996430999</v>
      </c>
      <c r="N7">
        <v>1.65100996430999</v>
      </c>
      <c r="O7">
        <v>41.923418931052304</v>
      </c>
      <c r="P7">
        <v>1</v>
      </c>
      <c r="Q7">
        <v>9.4918970083457205E-11</v>
      </c>
      <c r="R7" t="s">
        <v>105</v>
      </c>
    </row>
    <row r="8" spans="1:18" x14ac:dyDescent="0.3">
      <c r="A8" t="s">
        <v>57</v>
      </c>
      <c r="B8">
        <v>0.62842014644810495</v>
      </c>
      <c r="C8">
        <v>0.174269155342059</v>
      </c>
      <c r="D8">
        <v>3.6060319751629502</v>
      </c>
      <c r="E8">
        <v>3.1091484282764001E-4</v>
      </c>
      <c r="F8" t="s">
        <v>106</v>
      </c>
      <c r="G8">
        <v>1.87464657148722</v>
      </c>
      <c r="H8">
        <v>1.33222783125523</v>
      </c>
      <c r="I8">
        <v>2.6379119888807598</v>
      </c>
      <c r="J8" t="str">
        <f t="shared" si="0"/>
        <v>1.87 (1.33-2.64)</v>
      </c>
      <c r="K8" t="s">
        <v>107</v>
      </c>
      <c r="L8">
        <v>1.90035085812238</v>
      </c>
      <c r="M8">
        <v>2.3184965793497998</v>
      </c>
      <c r="N8">
        <v>1.48220513689496</v>
      </c>
      <c r="O8">
        <v>72.167659859212094</v>
      </c>
      <c r="P8">
        <v>2</v>
      </c>
      <c r="Q8">
        <v>2.13300451942537E-16</v>
      </c>
      <c r="R8" t="s">
        <v>108</v>
      </c>
    </row>
    <row r="9" spans="1:18" x14ac:dyDescent="0.3">
      <c r="A9" t="s">
        <v>58</v>
      </c>
      <c r="B9">
        <v>1.5132395369279099</v>
      </c>
      <c r="C9">
        <v>0.18305037755440901</v>
      </c>
      <c r="D9">
        <v>8.2667927657135092</v>
      </c>
      <c r="E9">
        <v>1.37610862486854E-16</v>
      </c>
      <c r="F9" t="s">
        <v>109</v>
      </c>
      <c r="G9">
        <v>4.5414190846690099</v>
      </c>
      <c r="H9">
        <v>3.1723124356537098</v>
      </c>
      <c r="I9">
        <v>6.5014048019976496</v>
      </c>
      <c r="J9" t="str">
        <f t="shared" si="0"/>
        <v>4.54 (3.17-6.5)</v>
      </c>
      <c r="K9" t="s">
        <v>107</v>
      </c>
      <c r="L9">
        <v>1.90035085812238</v>
      </c>
      <c r="M9">
        <v>2.3184965793497998</v>
      </c>
      <c r="N9">
        <v>2.3184965793497998</v>
      </c>
      <c r="O9">
        <v>72.167659859212094</v>
      </c>
      <c r="P9">
        <v>2</v>
      </c>
      <c r="Q9">
        <v>2.13300451942537E-16</v>
      </c>
      <c r="R9" t="s">
        <v>108</v>
      </c>
    </row>
    <row r="10" spans="1:18" x14ac:dyDescent="0.3">
      <c r="A10" t="s">
        <v>59</v>
      </c>
      <c r="B10">
        <v>-0.789258201866333</v>
      </c>
      <c r="C10">
        <v>0.14945648076882601</v>
      </c>
      <c r="D10">
        <v>-5.2808563255756598</v>
      </c>
      <c r="E10">
        <v>1.2858149362295601E-7</v>
      </c>
      <c r="F10" t="s">
        <v>110</v>
      </c>
      <c r="G10">
        <v>0.454181581402685</v>
      </c>
      <c r="H10">
        <v>0.33885164113136901</v>
      </c>
      <c r="I10">
        <v>0.60876467411137802</v>
      </c>
      <c r="J10" t="str">
        <f t="shared" si="0"/>
        <v>0.45 (0.34-0.61)</v>
      </c>
      <c r="K10" t="s">
        <v>111</v>
      </c>
      <c r="L10">
        <v>1.14883679085816</v>
      </c>
      <c r="M10">
        <v>1.14883679085816</v>
      </c>
      <c r="N10">
        <v>1.14883679085816</v>
      </c>
      <c r="O10">
        <v>28.834618900620399</v>
      </c>
      <c r="P10">
        <v>1</v>
      </c>
      <c r="Q10">
        <v>7.8829428257401403E-8</v>
      </c>
      <c r="R10" t="s">
        <v>112</v>
      </c>
    </row>
    <row r="11" spans="1:18" x14ac:dyDescent="0.3">
      <c r="A11" t="s">
        <v>60</v>
      </c>
      <c r="B11">
        <v>0.52926420617442504</v>
      </c>
      <c r="C11">
        <v>0.15431663445733501</v>
      </c>
      <c r="D11">
        <v>3.4297288042576799</v>
      </c>
      <c r="E11">
        <v>6.0418479379753802E-4</v>
      </c>
      <c r="F11" t="s">
        <v>113</v>
      </c>
      <c r="G11">
        <v>1.6976827044976801</v>
      </c>
      <c r="H11">
        <v>1.25458344686354</v>
      </c>
      <c r="I11">
        <v>2.2972776919350202</v>
      </c>
      <c r="J11" t="str">
        <f t="shared" si="0"/>
        <v>1.7 (1.25-2.3)</v>
      </c>
      <c r="K11" t="s">
        <v>114</v>
      </c>
      <c r="L11">
        <v>1.21440065627725</v>
      </c>
      <c r="M11">
        <v>1.21440065627725</v>
      </c>
      <c r="N11">
        <v>1.21440065627725</v>
      </c>
      <c r="O11">
        <v>11.927193480633401</v>
      </c>
      <c r="P11">
        <v>1</v>
      </c>
      <c r="Q11">
        <v>5.5320453173630403E-4</v>
      </c>
      <c r="R11" t="s">
        <v>115</v>
      </c>
    </row>
    <row r="12" spans="1:18" x14ac:dyDescent="0.3">
      <c r="A12" t="s">
        <v>61</v>
      </c>
      <c r="B12">
        <v>0.59067426127382205</v>
      </c>
      <c r="C12">
        <v>0.15642039096934299</v>
      </c>
      <c r="D12">
        <v>3.7761973206523201</v>
      </c>
      <c r="E12">
        <v>1.5924085764797E-4</v>
      </c>
      <c r="F12" t="s">
        <v>116</v>
      </c>
      <c r="G12">
        <v>1.8052051850890301</v>
      </c>
      <c r="H12">
        <v>1.3285528869852601</v>
      </c>
      <c r="I12">
        <v>2.4528686755309201</v>
      </c>
      <c r="J12" t="str">
        <f t="shared" si="0"/>
        <v>1.81 (1.33-2.45)</v>
      </c>
      <c r="K12" t="s">
        <v>117</v>
      </c>
      <c r="L12">
        <v>1.3004693846500299</v>
      </c>
      <c r="M12">
        <v>1.3004693846500299</v>
      </c>
      <c r="N12">
        <v>1.3004693846500299</v>
      </c>
      <c r="O12">
        <v>14.517206961362501</v>
      </c>
      <c r="P12">
        <v>1</v>
      </c>
      <c r="Q12">
        <v>1.3888516021244099E-4</v>
      </c>
      <c r="R12" t="s">
        <v>118</v>
      </c>
    </row>
    <row r="13" spans="1:18" x14ac:dyDescent="0.3">
      <c r="A13" t="s">
        <v>62</v>
      </c>
      <c r="B13">
        <v>0.47705769130182302</v>
      </c>
      <c r="C13">
        <v>0.18038441760010701</v>
      </c>
      <c r="D13">
        <v>2.6446724037960401</v>
      </c>
      <c r="E13">
        <v>8.1770039455082901E-3</v>
      </c>
      <c r="F13" t="s">
        <v>119</v>
      </c>
      <c r="G13">
        <v>1.6113264008905399</v>
      </c>
      <c r="H13">
        <v>1.13145479376015</v>
      </c>
      <c r="I13">
        <v>2.2947207299183301</v>
      </c>
      <c r="J13" t="str">
        <f t="shared" si="0"/>
        <v>1.61 (1.13-2.29)</v>
      </c>
      <c r="K13" t="s">
        <v>120</v>
      </c>
      <c r="L13">
        <v>1.1318219028272001</v>
      </c>
      <c r="M13">
        <v>1.1318219028272001</v>
      </c>
      <c r="N13">
        <v>1.1318219028272001</v>
      </c>
      <c r="O13">
        <v>7.0568333906785501</v>
      </c>
      <c r="P13">
        <v>1</v>
      </c>
      <c r="Q13">
        <v>7.8963453013944501E-3</v>
      </c>
      <c r="R13" t="s">
        <v>121</v>
      </c>
    </row>
    <row r="14" spans="1:18" x14ac:dyDescent="0.3">
      <c r="A14" t="s">
        <v>63</v>
      </c>
      <c r="B14">
        <v>0.51231659070973701</v>
      </c>
      <c r="C14">
        <v>0.17232093786978001</v>
      </c>
      <c r="D14">
        <v>2.97303738618742</v>
      </c>
      <c r="E14">
        <v>2.94868532589336E-3</v>
      </c>
      <c r="F14" t="s">
        <v>122</v>
      </c>
      <c r="G14">
        <v>1.6691534649792701</v>
      </c>
      <c r="H14">
        <v>1.1907311765181201</v>
      </c>
      <c r="I14">
        <v>2.3398004054947301</v>
      </c>
      <c r="J14" t="str">
        <f t="shared" si="0"/>
        <v>1.67 (1.19-2.34)</v>
      </c>
      <c r="K14" t="s">
        <v>123</v>
      </c>
      <c r="L14">
        <v>1.4769813950202599</v>
      </c>
      <c r="M14">
        <v>1.4769813950202599</v>
      </c>
      <c r="N14">
        <v>1.4769813950202599</v>
      </c>
      <c r="O14">
        <v>8.8890321008107094</v>
      </c>
      <c r="P14">
        <v>1</v>
      </c>
      <c r="Q14">
        <v>2.86888775685147E-3</v>
      </c>
      <c r="R14" t="s">
        <v>124</v>
      </c>
    </row>
    <row r="15" spans="1:18" x14ac:dyDescent="0.3">
      <c r="A15" t="s">
        <v>64</v>
      </c>
      <c r="B15">
        <v>0.58791038072002599</v>
      </c>
      <c r="C15">
        <v>0.16082921480930701</v>
      </c>
      <c r="D15">
        <v>3.6554949386347699</v>
      </c>
      <c r="E15">
        <v>2.5668627302556001E-4</v>
      </c>
      <c r="F15" t="s">
        <v>125</v>
      </c>
      <c r="G15">
        <v>1.8002227022478401</v>
      </c>
      <c r="H15">
        <v>1.31348658864282</v>
      </c>
      <c r="I15">
        <v>2.4673276497151999</v>
      </c>
      <c r="J15" t="str">
        <f t="shared" si="0"/>
        <v>1.8 (1.31-2.47)</v>
      </c>
      <c r="K15" t="s">
        <v>126</v>
      </c>
      <c r="L15">
        <v>1.29401378843614</v>
      </c>
      <c r="M15">
        <v>1.29401378843614</v>
      </c>
      <c r="N15">
        <v>1.29401378843614</v>
      </c>
      <c r="O15">
        <v>13.439984076437</v>
      </c>
      <c r="P15">
        <v>1</v>
      </c>
      <c r="Q15">
        <v>2.4631771238297202E-4</v>
      </c>
      <c r="R15" t="s">
        <v>127</v>
      </c>
    </row>
    <row r="16" spans="1:18" x14ac:dyDescent="0.3">
      <c r="A16" t="s">
        <v>65</v>
      </c>
      <c r="B16">
        <v>0.84046237979524197</v>
      </c>
      <c r="C16">
        <v>0.37587607666188799</v>
      </c>
      <c r="D16">
        <v>2.2360092380959502</v>
      </c>
      <c r="E16">
        <v>2.5351166029380898E-2</v>
      </c>
      <c r="F16" t="s">
        <v>128</v>
      </c>
      <c r="G16">
        <v>2.3174382657216102</v>
      </c>
      <c r="H16">
        <v>1.10931784187561</v>
      </c>
      <c r="I16">
        <v>4.8412816531919001</v>
      </c>
      <c r="J16" t="str">
        <f t="shared" si="0"/>
        <v>2.32 (1.11-4.84)</v>
      </c>
      <c r="K16" t="s">
        <v>129</v>
      </c>
      <c r="L16">
        <v>2.6305758628645401</v>
      </c>
      <c r="M16">
        <v>4.1604583786006701</v>
      </c>
      <c r="N16">
        <v>2.5688665803595301</v>
      </c>
      <c r="O16">
        <v>22.645113523967201</v>
      </c>
      <c r="P16">
        <v>4</v>
      </c>
      <c r="Q16">
        <v>1.49065418799614E-4</v>
      </c>
      <c r="R16" t="s">
        <v>130</v>
      </c>
    </row>
    <row r="17" spans="1:18" x14ac:dyDescent="0.3">
      <c r="A17" t="s">
        <v>66</v>
      </c>
      <c r="B17">
        <v>0.248521333099325</v>
      </c>
      <c r="C17">
        <v>0.385132468108415</v>
      </c>
      <c r="D17">
        <v>0.64528792994249995</v>
      </c>
      <c r="E17">
        <v>0.51874061310332198</v>
      </c>
      <c r="F17" t="s">
        <v>131</v>
      </c>
      <c r="G17">
        <v>1.2821281738452399</v>
      </c>
      <c r="H17">
        <v>0.60269844148006702</v>
      </c>
      <c r="I17">
        <v>2.7274878131937301</v>
      </c>
      <c r="J17" t="str">
        <f t="shared" si="0"/>
        <v>1.28 (0.6-2.73)</v>
      </c>
      <c r="K17" t="s">
        <v>129</v>
      </c>
      <c r="L17">
        <v>2.6305758628645401</v>
      </c>
      <c r="M17">
        <v>4.1604583786006701</v>
      </c>
      <c r="N17">
        <v>2.1354485920030299</v>
      </c>
      <c r="O17">
        <v>22.645113523967201</v>
      </c>
      <c r="P17">
        <v>4</v>
      </c>
      <c r="Q17">
        <v>1.49065418799614E-4</v>
      </c>
      <c r="R17" t="s">
        <v>130</v>
      </c>
    </row>
    <row r="18" spans="1:18" x14ac:dyDescent="0.3">
      <c r="A18" t="s">
        <v>67</v>
      </c>
      <c r="B18">
        <v>2.5477693312256902</v>
      </c>
      <c r="C18">
        <v>0.87860111573809796</v>
      </c>
      <c r="D18">
        <v>2.8998020667038999</v>
      </c>
      <c r="E18">
        <v>3.7339836859030702E-3</v>
      </c>
      <c r="F18" t="s">
        <v>132</v>
      </c>
      <c r="G18">
        <v>12.778567215812901</v>
      </c>
      <c r="H18">
        <v>2.2835040891495502</v>
      </c>
      <c r="I18">
        <v>71.509300493463698</v>
      </c>
      <c r="J18" t="str">
        <f t="shared" si="0"/>
        <v>12.78 (2.28-71.51)</v>
      </c>
      <c r="K18" t="s">
        <v>129</v>
      </c>
      <c r="L18">
        <v>2.6305758628645401</v>
      </c>
      <c r="M18">
        <v>4.1604583786006701</v>
      </c>
      <c r="N18">
        <v>4.1604583786006701</v>
      </c>
      <c r="O18">
        <v>22.645113523967201</v>
      </c>
      <c r="P18">
        <v>4</v>
      </c>
      <c r="Q18">
        <v>1.49065418799614E-4</v>
      </c>
      <c r="R18" t="s">
        <v>130</v>
      </c>
    </row>
    <row r="19" spans="1:18" x14ac:dyDescent="0.3">
      <c r="A19" t="s">
        <v>68</v>
      </c>
      <c r="B19">
        <v>2.2470147438436898</v>
      </c>
      <c r="C19">
        <v>0.51693765932486802</v>
      </c>
      <c r="D19">
        <v>4.34678089961242</v>
      </c>
      <c r="E19">
        <v>1.3815009479225501E-5</v>
      </c>
      <c r="F19" t="s">
        <v>133</v>
      </c>
      <c r="G19">
        <v>9.4594547486919502</v>
      </c>
      <c r="H19">
        <v>3.4343130889325701</v>
      </c>
      <c r="I19">
        <v>26.055074719574399</v>
      </c>
      <c r="J19" t="str">
        <f t="shared" si="0"/>
        <v>9.46 (3.43-26.06)</v>
      </c>
      <c r="K19" t="s">
        <v>129</v>
      </c>
      <c r="L19">
        <v>2.6305758628645401</v>
      </c>
      <c r="M19">
        <v>4.1604583786006701</v>
      </c>
      <c r="N19">
        <v>1.65752990049495</v>
      </c>
      <c r="O19">
        <v>22.645113523967201</v>
      </c>
      <c r="P19">
        <v>4</v>
      </c>
      <c r="Q19">
        <v>1.49065418799614E-4</v>
      </c>
      <c r="R19" t="s">
        <v>130</v>
      </c>
    </row>
    <row r="20" spans="1:18" x14ac:dyDescent="0.3">
      <c r="A20" t="s">
        <v>69</v>
      </c>
      <c r="B20">
        <v>-0.13719877317581999</v>
      </c>
      <c r="C20">
        <v>0.26154713080262298</v>
      </c>
      <c r="D20">
        <v>-0.52456615660355599</v>
      </c>
      <c r="E20">
        <v>0.59988481868502297</v>
      </c>
      <c r="F20" t="s">
        <v>134</v>
      </c>
      <c r="G20">
        <v>0.87179691906600998</v>
      </c>
      <c r="H20">
        <v>0.52213393186819002</v>
      </c>
      <c r="I20">
        <v>1.4556224403451601</v>
      </c>
      <c r="J20" t="str">
        <f t="shared" si="0"/>
        <v>0.87 (0.52-1.46)</v>
      </c>
      <c r="K20" t="s">
        <v>135</v>
      </c>
      <c r="L20">
        <v>1.5106575437518801</v>
      </c>
      <c r="M20">
        <v>1.7672994802397499</v>
      </c>
      <c r="N20">
        <v>1.3106390662694301</v>
      </c>
      <c r="O20">
        <v>19.3628612312957</v>
      </c>
      <c r="P20">
        <v>4</v>
      </c>
      <c r="Q20">
        <v>6.6686439516971702E-4</v>
      </c>
      <c r="R20" t="s">
        <v>136</v>
      </c>
    </row>
    <row r="21" spans="1:18" x14ac:dyDescent="0.3">
      <c r="A21" t="s">
        <v>70</v>
      </c>
      <c r="B21">
        <v>6.1294069243641502E-2</v>
      </c>
      <c r="C21">
        <v>0.338436781773438</v>
      </c>
      <c r="D21">
        <v>0.18110936087518401</v>
      </c>
      <c r="E21">
        <v>0.85628173718634404</v>
      </c>
      <c r="F21" t="s">
        <v>137</v>
      </c>
      <c r="G21">
        <v>1.0632115260294701</v>
      </c>
      <c r="H21">
        <v>0.54769209354759096</v>
      </c>
      <c r="I21">
        <v>2.0639676241440701</v>
      </c>
      <c r="J21" t="str">
        <f t="shared" si="0"/>
        <v>1.06 (0.55-2.06)</v>
      </c>
      <c r="K21" t="s">
        <v>135</v>
      </c>
      <c r="L21">
        <v>1.5106575437518801</v>
      </c>
      <c r="M21">
        <v>1.7672994802397499</v>
      </c>
      <c r="N21">
        <v>1.7672994802397499</v>
      </c>
      <c r="O21">
        <v>19.3628612312957</v>
      </c>
      <c r="P21">
        <v>4</v>
      </c>
      <c r="Q21">
        <v>6.6686439516971702E-4</v>
      </c>
      <c r="R21" t="s">
        <v>136</v>
      </c>
    </row>
    <row r="22" spans="1:18" x14ac:dyDescent="0.3">
      <c r="A22" t="s">
        <v>71</v>
      </c>
      <c r="B22">
        <v>0.73590049610112396</v>
      </c>
      <c r="C22">
        <v>0.42967428632801002</v>
      </c>
      <c r="D22">
        <v>1.71269382301212</v>
      </c>
      <c r="E22">
        <v>8.6768882124981406E-2</v>
      </c>
      <c r="F22" t="s">
        <v>138</v>
      </c>
      <c r="G22">
        <v>2.0873608067137202</v>
      </c>
      <c r="H22">
        <v>0.89918983436851097</v>
      </c>
      <c r="I22">
        <v>4.8455564897088204</v>
      </c>
      <c r="J22" t="str">
        <f t="shared" si="0"/>
        <v>2.09 (0.9-4.85)</v>
      </c>
      <c r="K22" t="s">
        <v>135</v>
      </c>
      <c r="L22">
        <v>1.5106575437518801</v>
      </c>
      <c r="M22">
        <v>1.7672994802397499</v>
      </c>
      <c r="N22">
        <v>1.4477905851164099</v>
      </c>
      <c r="O22">
        <v>19.3628612312957</v>
      </c>
      <c r="P22">
        <v>4</v>
      </c>
      <c r="Q22">
        <v>6.6686439516971702E-4</v>
      </c>
      <c r="R22" t="s">
        <v>136</v>
      </c>
    </row>
    <row r="23" spans="1:18" x14ac:dyDescent="0.3">
      <c r="A23" t="s">
        <v>72</v>
      </c>
      <c r="B23">
        <v>1.3968810915513401</v>
      </c>
      <c r="C23">
        <v>0.39327717640728999</v>
      </c>
      <c r="D23">
        <v>3.55189971691795</v>
      </c>
      <c r="E23">
        <v>3.8246059503345198E-4</v>
      </c>
      <c r="F23" t="s">
        <v>139</v>
      </c>
      <c r="G23">
        <v>4.0425718725787796</v>
      </c>
      <c r="H23">
        <v>1.8702232818417599</v>
      </c>
      <c r="I23">
        <v>8.7382012103236306</v>
      </c>
      <c r="J23" t="str">
        <f t="shared" si="0"/>
        <v>4.04 (1.87-8.74)</v>
      </c>
      <c r="K23" t="s">
        <v>135</v>
      </c>
      <c r="L23">
        <v>1.5106575437518801</v>
      </c>
      <c r="M23">
        <v>1.7672994802397499</v>
      </c>
      <c r="N23">
        <v>1.5169010433819199</v>
      </c>
      <c r="O23">
        <v>19.3628612312957</v>
      </c>
      <c r="P23">
        <v>4</v>
      </c>
      <c r="Q23">
        <v>6.6686439516971702E-4</v>
      </c>
      <c r="R23" t="s">
        <v>136</v>
      </c>
    </row>
    <row r="24" spans="1:18" x14ac:dyDescent="0.3">
      <c r="A24" t="s">
        <v>73</v>
      </c>
      <c r="B24">
        <v>-1.0506942458178401</v>
      </c>
      <c r="C24">
        <v>0.43415759663138398</v>
      </c>
      <c r="D24">
        <v>-2.4200756913391399</v>
      </c>
      <c r="E24">
        <v>1.55172767823951E-2</v>
      </c>
      <c r="F24" t="s">
        <v>140</v>
      </c>
      <c r="G24">
        <v>0.34969489060383802</v>
      </c>
      <c r="H24">
        <v>0.14932305955639499</v>
      </c>
      <c r="I24">
        <v>0.81893926415461304</v>
      </c>
      <c r="J24" t="str">
        <f t="shared" si="0"/>
        <v>0.35 (0.15-0.82)</v>
      </c>
      <c r="K24" t="s">
        <v>141</v>
      </c>
      <c r="L24">
        <v>3.09355303776496</v>
      </c>
      <c r="M24">
        <v>4.3523527625011198</v>
      </c>
      <c r="N24">
        <v>3.7776690530813499</v>
      </c>
      <c r="O24">
        <v>14.9240834185703</v>
      </c>
      <c r="P24">
        <v>4</v>
      </c>
      <c r="Q24">
        <v>4.8612910510242901E-3</v>
      </c>
      <c r="R24" t="s">
        <v>142</v>
      </c>
    </row>
    <row r="25" spans="1:18" x14ac:dyDescent="0.3">
      <c r="A25" t="s">
        <v>74</v>
      </c>
      <c r="B25">
        <v>0.37239759493379099</v>
      </c>
      <c r="C25">
        <v>0.37817784672691102</v>
      </c>
      <c r="D25">
        <v>0.98471551984562999</v>
      </c>
      <c r="E25">
        <v>0.32476382720049701</v>
      </c>
      <c r="F25" t="s">
        <v>143</v>
      </c>
      <c r="G25">
        <v>1.4512098602918</v>
      </c>
      <c r="H25">
        <v>0.69154228183364597</v>
      </c>
      <c r="I25">
        <v>3.0453814812652999</v>
      </c>
      <c r="J25" t="str">
        <f t="shared" si="0"/>
        <v>1.45 (0.69-3.05)</v>
      </c>
      <c r="K25" t="s">
        <v>141</v>
      </c>
      <c r="L25">
        <v>3.09355303776496</v>
      </c>
      <c r="M25">
        <v>4.3523527625011198</v>
      </c>
      <c r="N25">
        <v>2.4908269116644202</v>
      </c>
      <c r="O25">
        <v>14.9240834185703</v>
      </c>
      <c r="P25">
        <v>4</v>
      </c>
      <c r="Q25">
        <v>4.8612910510242901E-3</v>
      </c>
      <c r="R25" t="s">
        <v>142</v>
      </c>
    </row>
    <row r="26" spans="1:18" x14ac:dyDescent="0.3">
      <c r="A26" t="s">
        <v>75</v>
      </c>
      <c r="B26">
        <v>-0.95107455301535404</v>
      </c>
      <c r="C26">
        <v>1.0099249284456699</v>
      </c>
      <c r="D26">
        <v>-0.94172797029489197</v>
      </c>
      <c r="E26">
        <v>0.34633193101697402</v>
      </c>
      <c r="F26" t="s">
        <v>144</v>
      </c>
      <c r="G26">
        <v>0.38632567291963799</v>
      </c>
      <c r="H26">
        <v>5.3368883290727302E-2</v>
      </c>
      <c r="I26">
        <v>2.7965270463649099</v>
      </c>
      <c r="J26" t="str">
        <f t="shared" si="0"/>
        <v>0.39 (0.05-2.8)</v>
      </c>
      <c r="K26" t="s">
        <v>141</v>
      </c>
      <c r="L26">
        <v>3.09355303776496</v>
      </c>
      <c r="M26">
        <v>4.3523527625011198</v>
      </c>
      <c r="N26">
        <v>4.3523527625011198</v>
      </c>
      <c r="O26">
        <v>14.9240834185703</v>
      </c>
      <c r="P26">
        <v>4</v>
      </c>
      <c r="Q26">
        <v>4.8612910510242901E-3</v>
      </c>
      <c r="R26" t="s">
        <v>142</v>
      </c>
    </row>
    <row r="27" spans="1:18" x14ac:dyDescent="0.3">
      <c r="A27" t="s">
        <v>76</v>
      </c>
      <c r="B27">
        <v>-1.4685336465946399</v>
      </c>
      <c r="C27">
        <v>0.61096835625170898</v>
      </c>
      <c r="D27">
        <v>-2.4036165401496401</v>
      </c>
      <c r="E27">
        <v>1.6233791709492101E-2</v>
      </c>
      <c r="F27" t="s">
        <v>145</v>
      </c>
      <c r="G27">
        <v>0.23026288451777899</v>
      </c>
      <c r="H27">
        <v>6.9527590133577594E-2</v>
      </c>
      <c r="I27">
        <v>0.76258929562470201</v>
      </c>
      <c r="J27" t="str">
        <f t="shared" si="0"/>
        <v>0.23 (0.07-0.76)</v>
      </c>
      <c r="K27" t="s">
        <v>141</v>
      </c>
      <c r="L27">
        <v>3.09355303776496</v>
      </c>
      <c r="M27">
        <v>4.3523527625011198</v>
      </c>
      <c r="N27">
        <v>1.7533634238129301</v>
      </c>
      <c r="O27">
        <v>14.9240834185703</v>
      </c>
      <c r="P27">
        <v>4</v>
      </c>
      <c r="Q27">
        <v>4.8612910510242901E-3</v>
      </c>
      <c r="R27" t="s">
        <v>142</v>
      </c>
    </row>
    <row r="28" spans="1:18" x14ac:dyDescent="0.3">
      <c r="A28" t="s">
        <v>77</v>
      </c>
      <c r="B28">
        <v>3.84946922135165E-2</v>
      </c>
      <c r="C28">
        <v>0.54313364347049697</v>
      </c>
      <c r="D28">
        <v>7.0875175339064705E-2</v>
      </c>
      <c r="E28">
        <v>0.94349710088720196</v>
      </c>
      <c r="F28" t="s">
        <v>146</v>
      </c>
      <c r="G28">
        <v>1.03924521225165</v>
      </c>
      <c r="H28">
        <v>0.35842091285326</v>
      </c>
      <c r="I28">
        <v>3.01330243983324</v>
      </c>
      <c r="J28" t="str">
        <f t="shared" si="0"/>
        <v>1.04 (0.36-3.01)</v>
      </c>
      <c r="K28" t="s">
        <v>147</v>
      </c>
      <c r="L28">
        <v>5.6374432353903297</v>
      </c>
      <c r="M28">
        <v>11.0219126220818</v>
      </c>
      <c r="N28">
        <v>6.4791775000037397</v>
      </c>
      <c r="O28">
        <v>50.539474176910502</v>
      </c>
      <c r="P28">
        <v>4</v>
      </c>
      <c r="Q28">
        <v>2.7857898368854299E-10</v>
      </c>
      <c r="R28" t="s">
        <v>148</v>
      </c>
    </row>
    <row r="29" spans="1:18" x14ac:dyDescent="0.3">
      <c r="A29" t="s">
        <v>78</v>
      </c>
      <c r="B29">
        <v>2.08389854539984</v>
      </c>
      <c r="C29">
        <v>0.63143536796800703</v>
      </c>
      <c r="D29">
        <v>3.30025629084721</v>
      </c>
      <c r="E29">
        <v>9.65965700751346E-4</v>
      </c>
      <c r="F29" t="s">
        <v>149</v>
      </c>
      <c r="G29">
        <v>8.0357356074707695</v>
      </c>
      <c r="H29">
        <v>2.3309717114561699</v>
      </c>
      <c r="I29">
        <v>27.7022009472755</v>
      </c>
      <c r="J29" t="str">
        <f t="shared" si="0"/>
        <v>8.04 (2.33-27.7)</v>
      </c>
      <c r="K29" t="s">
        <v>147</v>
      </c>
      <c r="L29">
        <v>5.6374432353903297</v>
      </c>
      <c r="M29">
        <v>11.0219126220818</v>
      </c>
      <c r="N29">
        <v>3.06898641761603</v>
      </c>
      <c r="O29">
        <v>50.539474176910502</v>
      </c>
      <c r="P29">
        <v>4</v>
      </c>
      <c r="Q29">
        <v>2.7857898368854299E-10</v>
      </c>
      <c r="R29" t="s">
        <v>148</v>
      </c>
    </row>
    <row r="30" spans="1:18" x14ac:dyDescent="0.3">
      <c r="A30" t="s">
        <v>79</v>
      </c>
      <c r="B30">
        <v>1.7726800867347501</v>
      </c>
      <c r="C30">
        <v>1.3482599873176599</v>
      </c>
      <c r="D30">
        <v>1.3147909923971399</v>
      </c>
      <c r="E30">
        <v>0.188580155559254</v>
      </c>
      <c r="F30" t="s">
        <v>150</v>
      </c>
      <c r="G30">
        <v>5.8866088612203296</v>
      </c>
      <c r="H30">
        <v>0.41898947093553601</v>
      </c>
      <c r="I30">
        <v>82.704140053030599</v>
      </c>
      <c r="J30" t="str">
        <f t="shared" si="0"/>
        <v>5.89 (0.42-82.7)</v>
      </c>
      <c r="K30" t="s">
        <v>147</v>
      </c>
      <c r="L30">
        <v>5.6374432353903297</v>
      </c>
      <c r="M30">
        <v>11.0219126220818</v>
      </c>
      <c r="N30">
        <v>11.0219126220818</v>
      </c>
      <c r="O30">
        <v>50.539474176910502</v>
      </c>
      <c r="P30">
        <v>4</v>
      </c>
      <c r="Q30">
        <v>2.7857898368854299E-10</v>
      </c>
      <c r="R30" t="s">
        <v>148</v>
      </c>
    </row>
    <row r="31" spans="1:18" x14ac:dyDescent="0.3">
      <c r="A31" t="s">
        <v>80</v>
      </c>
      <c r="B31">
        <v>2.98646557137234</v>
      </c>
      <c r="C31">
        <v>1.2446616982429</v>
      </c>
      <c r="D31">
        <v>2.3994195174386501</v>
      </c>
      <c r="E31">
        <v>1.6421089235301799E-2</v>
      </c>
      <c r="F31" t="s">
        <v>151</v>
      </c>
      <c r="G31">
        <v>19.815522027700101</v>
      </c>
      <c r="H31">
        <v>1.72793774548809</v>
      </c>
      <c r="I31">
        <v>227.23903928573301</v>
      </c>
      <c r="J31" t="str">
        <f t="shared" si="0"/>
        <v>19.82 (1.73-227.24)</v>
      </c>
      <c r="K31" t="s">
        <v>147</v>
      </c>
      <c r="L31">
        <v>5.6374432353903297</v>
      </c>
      <c r="M31">
        <v>11.0219126220818</v>
      </c>
      <c r="N31">
        <v>1.97969640185976</v>
      </c>
      <c r="O31">
        <v>50.539474176910502</v>
      </c>
      <c r="P31">
        <v>4</v>
      </c>
      <c r="Q31">
        <v>2.7857898368854299E-10</v>
      </c>
      <c r="R31" t="s">
        <v>148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152</v>
      </c>
    </row>
    <row r="2" spans="1:1" x14ac:dyDescent="0.3">
      <c r="A2" t="s">
        <v>153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2025-10-13T07:38:54Z</dcterms:created>
  <dcterms:modified xsi:type="dcterms:W3CDTF">2025-10-22T07:46:09Z</dcterms:modified>
</cp:coreProperties>
</file>