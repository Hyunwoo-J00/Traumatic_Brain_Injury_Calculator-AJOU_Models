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3Month\Clinical\Alternative\"/>
    </mc:Choice>
  </mc:AlternateContent>
  <xr:revisionPtr revIDLastSave="0" documentId="13_ncr:1_{C9DB5562-D90B-4619-8254-B632E301B66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</calcChain>
</file>

<file path=xl/sharedStrings.xml><?xml version="1.0" encoding="utf-8"?>
<sst xmlns="http://schemas.openxmlformats.org/spreadsheetml/2006/main" count="121" uniqueCount="86">
  <si>
    <t>Item</t>
  </si>
  <si>
    <t>Value</t>
  </si>
  <si>
    <t>Formula</t>
  </si>
  <si>
    <t>GOSE_3_Unfav ~ Age + InjuryHx.InjCause + arr_GCS_derived + arr_pp_prompt + head_neck_AIS</t>
  </si>
  <si>
    <t>N_total</t>
  </si>
  <si>
    <t>2310</t>
  </si>
  <si>
    <t>Pos_Level</t>
  </si>
  <si>
    <t>1</t>
  </si>
  <si>
    <t>Penalty</t>
  </si>
  <si>
    <t>lasso</t>
  </si>
  <si>
    <t>Alpha</t>
  </si>
  <si>
    <t>Lambda_Chosen</t>
  </si>
  <si>
    <t>0.03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</si>
  <si>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</si>
  <si>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</si>
  <si>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</si>
  <si>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</si>
  <si>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</si>
  <si>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</si>
  <si>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</si>
  <si>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</si>
  <si>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</si>
  <si>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</si>
  <si>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</si>
  <si>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</si>
  <si>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</si>
  <si>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</si>
  <si>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</si>
  <si>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</si>
  <si>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</si>
  <si>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</si>
  <si>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</si>
  <si>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</si>
  <si>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</si>
  <si>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</si>
  <si>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</si>
  <si>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</si>
  <si>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</si>
  <si>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</si>
  <si>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</si>
  <si>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</si>
  <si>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</si>
  <si>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</si>
  <si>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</si>
  <si>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</si>
  <si>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</si>
  <si>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</si>
  <si>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</si>
  <si>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</si>
  <si>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lambda=0.03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</si>
  <si>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</si>
  <si>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</si>
  <si>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</si>
  <si>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</si>
  <si>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</si>
  <si>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</si>
  <si>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</si>
  <si>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</si>
  <si>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</si>
  <si>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</si>
  <si>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</si>
  <si>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</si>
  <si>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</si>
  <si>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</si>
  <si>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</si>
  <si>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</si>
  <si>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</si>
  <si>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</si>
  <si>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</si>
  <si>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</si>
  <si>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</si>
  <si>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</si>
  <si>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</si>
  <si>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</si>
  <si>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0.467</t>
  </si>
  <si>
    <t>InjuryHx.InjCause</t>
  </si>
  <si>
    <t>0.000555</t>
  </si>
  <si>
    <t>0.00319</t>
  </si>
  <si>
    <t>0.0173</t>
  </si>
  <si>
    <t>6.5e-16</t>
  </si>
  <si>
    <t>arr_pp_prompt</t>
  </si>
  <si>
    <t>2.98e-09</t>
  </si>
  <si>
    <t>head_neck_AIS</t>
  </si>
  <si>
    <t>JSON</t>
  </si>
  <si>
    <t>{"formula":"GOSE_3_Unfav ~ Age + InjuryHx.InjCause + arr_GCS_derived + arr_pp_prompt + head_neck_AIS","penalty":"lasso","alpha":1,"lambda":0.03,"x_names":["Age","InjuryHx.InjCause1","InjuryHx.InjCause3","InjuryHx.InjCause88","arr_GCS_derived","arr_pp_promptbilateral absence","head_neck_AIS4","head_neck_AIS5"],"train_test":false,"test_prop":{},"split_seed":{},"standardize":true,"threshold":0.5,"family":"binomial","link":"logit"}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</si>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</sst>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2310</v>
      </c>
      <c r="C2">
        <v>963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0.88149999999999995</v>
      </c>
    </row>
    <row r="3" spans="1:2" x14ac:dyDescent="0.3">
      <c r="A3" t="s">
        <v>30</v>
      </c>
      <c r="B3">
        <v>0.80259999999999998</v>
      </c>
    </row>
    <row r="4" spans="1:2" x14ac:dyDescent="0.3">
      <c r="A4" t="s">
        <v>31</v>
      </c>
      <c r="B4">
        <v>0.69369999999999998</v>
      </c>
    </row>
    <row r="5" spans="1:2" x14ac:dyDescent="0.3">
      <c r="A5" t="s">
        <v>32</v>
      </c>
      <c r="B5">
        <v>0.80579999999999996</v>
      </c>
    </row>
    <row r="6" spans="1:2" x14ac:dyDescent="0.3">
      <c r="A6" t="s">
        <v>33</v>
      </c>
      <c r="B6">
        <v>0.74550000000000005</v>
      </c>
    </row>
    <row r="7" spans="1:2" x14ac:dyDescent="0.3">
      <c r="A7" t="s">
        <v>34</v>
      </c>
      <c r="B7">
        <v>0.3584</v>
      </c>
    </row>
    <row r="8" spans="1:2" x14ac:dyDescent="0.3">
      <c r="A8" t="s">
        <v>35</v>
      </c>
      <c r="B8">
        <v>2025.462</v>
      </c>
    </row>
    <row r="9" spans="1:2" x14ac:dyDescent="0.3">
      <c r="A9" t="s">
        <v>36</v>
      </c>
      <c r="B9">
        <v>0.13850000000000001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-2.0882798529046999E-8</v>
      </c>
      <c r="C2">
        <v>5.1401481532756102E-2</v>
      </c>
      <c r="D2">
        <v>-4.0626841690816201E-7</v>
      </c>
      <c r="E2">
        <v>0.99999967584470295</v>
      </c>
      <c r="F2">
        <v>-0.100746924687001</v>
      </c>
      <c r="G2">
        <v>0.10074688292140301</v>
      </c>
    </row>
    <row r="3" spans="1:7" x14ac:dyDescent="0.3">
      <c r="A3" t="s">
        <v>45</v>
      </c>
      <c r="B3">
        <v>1.3351641335214499</v>
      </c>
      <c r="C3">
        <v>5.2781747916601902E-2</v>
      </c>
      <c r="D3">
        <v>25.295943886342801</v>
      </c>
      <c r="E3">
        <v>3.5399670692628697E-141</v>
      </c>
      <c r="F3">
        <v>1.2317119076049099</v>
      </c>
      <c r="G3">
        <v>1.4386163594379899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-0.29254418437139301</v>
      </c>
    </row>
    <row r="3" spans="1:3" x14ac:dyDescent="0.3">
      <c r="A3" t="s">
        <v>49</v>
      </c>
      <c r="B3" t="s">
        <v>51</v>
      </c>
      <c r="C3">
        <v>2.2222216656588498E-2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-0.18784836778288999</v>
      </c>
    </row>
    <row r="8" spans="1:3" x14ac:dyDescent="0.3">
      <c r="A8" t="s">
        <v>49</v>
      </c>
      <c r="B8" t="s">
        <v>56</v>
      </c>
      <c r="C8">
        <v>1.0543031803694101</v>
      </c>
    </row>
    <row r="9" spans="1:3" x14ac:dyDescent="0.3">
      <c r="A9" t="s">
        <v>49</v>
      </c>
      <c r="B9" t="s">
        <v>57</v>
      </c>
      <c r="C9">
        <v>8.87636947606677E-2</v>
      </c>
    </row>
    <row r="10" spans="1:3" x14ac:dyDescent="0.3">
      <c r="A10" t="s">
        <v>49</v>
      </c>
      <c r="B10" t="s">
        <v>58</v>
      </c>
      <c r="C10">
        <v>0.99436555843547902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"/>
  <sheetViews>
    <sheetView tabSelected="1" workbookViewId="0">
      <pane xSplit="1" topLeftCell="E1" activePane="topRight" state="frozen"/>
      <selection pane="topRight" activeCell="J7" sqref="J7"/>
    </sheetView>
  </sheetViews>
  <sheetFormatPr defaultColWidth="11.5546875" defaultRowHeight="14.4" x14ac:dyDescent="0.3"/>
  <sheetData>
    <row r="1" spans="1:18" x14ac:dyDescent="0.3">
      <c r="A1" t="s">
        <v>59</v>
      </c>
      <c r="B1" t="s">
        <v>60</v>
      </c>
      <c r="C1" t="s">
        <v>61</v>
      </c>
      <c r="D1" t="s">
        <v>62</v>
      </c>
      <c r="E1" t="s">
        <v>41</v>
      </c>
      <c r="F1" t="s">
        <v>63</v>
      </c>
      <c r="G1" t="s">
        <v>64</v>
      </c>
      <c r="H1" t="s">
        <v>42</v>
      </c>
      <c r="I1" t="s">
        <v>43</v>
      </c>
      <c r="J1" t="s">
        <v>85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</row>
    <row r="2" spans="1:18" x14ac:dyDescent="0.3">
      <c r="A2" t="s">
        <v>51</v>
      </c>
      <c r="B2">
        <v>3.8608994730362799E-2</v>
      </c>
      <c r="C2">
        <v>3.6304067744356498E-3</v>
      </c>
      <c r="D2">
        <v>10.634894966106</v>
      </c>
      <c r="E2">
        <v>2.0505966075413301E-26</v>
      </c>
      <c r="F2" t="s">
        <v>73</v>
      </c>
      <c r="G2">
        <v>1.0393640073842001</v>
      </c>
      <c r="H2">
        <v>1.0319945617800099</v>
      </c>
      <c r="I2">
        <v>1.0467860780026299</v>
      </c>
      <c r="J2" t="str">
        <f>_xlfn.CONCAT(ROUND(G2,3), " (", ROUND(H2,3), "-", ROUND(I2,3))</f>
        <v>1.039 (1.032-1.047</v>
      </c>
      <c r="K2" t="s">
        <v>51</v>
      </c>
      <c r="L2">
        <v>1.0822219143182701</v>
      </c>
      <c r="M2">
        <v>1.0822219143182701</v>
      </c>
      <c r="N2">
        <v>1.0822219143182701</v>
      </c>
      <c r="O2">
        <v>126.05495472973401</v>
      </c>
      <c r="P2">
        <v>1</v>
      </c>
      <c r="Q2">
        <v>2.9908524668643299E-29</v>
      </c>
      <c r="R2" t="s">
        <v>73</v>
      </c>
    </row>
    <row r="3" spans="1:18" x14ac:dyDescent="0.3">
      <c r="A3" t="s">
        <v>52</v>
      </c>
      <c r="B3">
        <v>9.2257784169588394E-2</v>
      </c>
      <c r="C3">
        <v>0.126786698593883</v>
      </c>
      <c r="D3">
        <v>0.72766138082910503</v>
      </c>
      <c r="E3">
        <v>0.466820896441135</v>
      </c>
      <c r="F3" t="s">
        <v>74</v>
      </c>
      <c r="G3">
        <v>1.0966474840073599</v>
      </c>
      <c r="H3">
        <v>0.85535033530531801</v>
      </c>
      <c r="I3">
        <v>1.40601535363916</v>
      </c>
      <c r="J3" t="str">
        <f t="shared" ref="J3:J9" si="0">_xlfn.CONCAT(ROUND(G3,2), " (", ROUND(H3,2), "-", ROUND(I3,2))</f>
        <v>1.1 (0.86-1.41</v>
      </c>
      <c r="K3" t="s">
        <v>75</v>
      </c>
      <c r="L3">
        <v>1.1301192591167799</v>
      </c>
      <c r="M3">
        <v>1.2021891037127299</v>
      </c>
      <c r="N3">
        <v>1.2021891037127299</v>
      </c>
      <c r="O3">
        <v>17.510877074229899</v>
      </c>
      <c r="P3">
        <v>3</v>
      </c>
      <c r="Q3">
        <v>5.5477235006703204E-4</v>
      </c>
      <c r="R3" t="s">
        <v>76</v>
      </c>
    </row>
    <row r="4" spans="1:18" x14ac:dyDescent="0.3">
      <c r="A4" t="s">
        <v>53</v>
      </c>
      <c r="B4">
        <v>-0.87539852617108704</v>
      </c>
      <c r="C4">
        <v>0.29689868354708898</v>
      </c>
      <c r="D4">
        <v>-2.9484756069396498</v>
      </c>
      <c r="E4">
        <v>3.1934534073029398E-3</v>
      </c>
      <c r="F4" t="s">
        <v>77</v>
      </c>
      <c r="G4">
        <v>0.41669592235319802</v>
      </c>
      <c r="H4">
        <v>0.232859515290745</v>
      </c>
      <c r="I4">
        <v>0.74566629364054204</v>
      </c>
      <c r="J4" t="str">
        <f t="shared" si="0"/>
        <v>0.42 (0.23-0.75</v>
      </c>
      <c r="K4" t="s">
        <v>75</v>
      </c>
      <c r="L4">
        <v>1.1301192591167799</v>
      </c>
      <c r="M4">
        <v>1.2021891037127299</v>
      </c>
      <c r="N4">
        <v>1.1146112324912001</v>
      </c>
      <c r="O4">
        <v>17.510877074229899</v>
      </c>
      <c r="P4">
        <v>3</v>
      </c>
      <c r="Q4">
        <v>5.5477235006703204E-4</v>
      </c>
      <c r="R4" t="s">
        <v>76</v>
      </c>
    </row>
    <row r="5" spans="1:18" x14ac:dyDescent="0.3">
      <c r="A5" t="s">
        <v>54</v>
      </c>
      <c r="B5">
        <v>-0.58900545115179004</v>
      </c>
      <c r="C5">
        <v>0.247556420326494</v>
      </c>
      <c r="D5">
        <v>-2.37927762234956</v>
      </c>
      <c r="E5">
        <v>1.7346605965149999E-2</v>
      </c>
      <c r="F5" t="s">
        <v>78</v>
      </c>
      <c r="G5">
        <v>0.55487886453813495</v>
      </c>
      <c r="H5">
        <v>0.34156542570696202</v>
      </c>
      <c r="I5">
        <v>0.90141018715189902</v>
      </c>
      <c r="J5" t="str">
        <f t="shared" si="0"/>
        <v>0.55 (0.34-0.9</v>
      </c>
      <c r="K5" t="s">
        <v>75</v>
      </c>
      <c r="L5">
        <v>1.1301192591167799</v>
      </c>
      <c r="M5">
        <v>1.2021891037127299</v>
      </c>
      <c r="N5">
        <v>1.0735574411464099</v>
      </c>
      <c r="O5">
        <v>17.510877074229899</v>
      </c>
      <c r="P5">
        <v>3</v>
      </c>
      <c r="Q5">
        <v>5.5477235006703204E-4</v>
      </c>
      <c r="R5" t="s">
        <v>76</v>
      </c>
    </row>
    <row r="6" spans="1:18" x14ac:dyDescent="0.3">
      <c r="A6" t="s">
        <v>55</v>
      </c>
      <c r="B6">
        <v>-0.22155526845604201</v>
      </c>
      <c r="C6">
        <v>1.5812775302970501E-2</v>
      </c>
      <c r="D6">
        <v>-14.0111564359245</v>
      </c>
      <c r="E6">
        <v>1.3321789103412399E-44</v>
      </c>
      <c r="F6" t="s">
        <v>73</v>
      </c>
      <c r="G6">
        <v>0.80127163587794403</v>
      </c>
      <c r="H6">
        <v>0.77681868533709397</v>
      </c>
      <c r="I6">
        <v>0.82649432432731795</v>
      </c>
      <c r="J6" t="str">
        <f t="shared" si="0"/>
        <v>0.8 (0.78-0.83</v>
      </c>
      <c r="K6" t="s">
        <v>55</v>
      </c>
      <c r="L6">
        <v>1.71199913533714</v>
      </c>
      <c r="M6">
        <v>1.71199913533714</v>
      </c>
      <c r="N6">
        <v>1.71199913533714</v>
      </c>
      <c r="O6">
        <v>216.35516480517899</v>
      </c>
      <c r="P6">
        <v>1</v>
      </c>
      <c r="Q6">
        <v>5.64215074774108E-49</v>
      </c>
      <c r="R6" t="s">
        <v>73</v>
      </c>
    </row>
    <row r="7" spans="1:18" x14ac:dyDescent="0.3">
      <c r="A7" t="s">
        <v>56</v>
      </c>
      <c r="B7">
        <v>1.53936757995803</v>
      </c>
      <c r="C7">
        <v>0.190526831142525</v>
      </c>
      <c r="D7">
        <v>8.0795317422064095</v>
      </c>
      <c r="E7">
        <v>6.50159372221193E-16</v>
      </c>
      <c r="F7" t="s">
        <v>79</v>
      </c>
      <c r="G7">
        <v>4.66164122322993</v>
      </c>
      <c r="H7">
        <v>3.2089217937432002</v>
      </c>
      <c r="I7">
        <v>6.7720250884542796</v>
      </c>
      <c r="J7" t="str">
        <f t="shared" si="0"/>
        <v>4.66 (3.21-6.77</v>
      </c>
      <c r="K7" t="s">
        <v>80</v>
      </c>
      <c r="L7">
        <v>1.4873581989439799</v>
      </c>
      <c r="M7">
        <v>1.4873581989439799</v>
      </c>
      <c r="N7">
        <v>1.4873581989439799</v>
      </c>
      <c r="O7">
        <v>75.436452877195705</v>
      </c>
      <c r="P7">
        <v>1</v>
      </c>
      <c r="Q7">
        <v>3.7735847170286701E-18</v>
      </c>
      <c r="R7" t="s">
        <v>73</v>
      </c>
    </row>
    <row r="8" spans="1:18" x14ac:dyDescent="0.3">
      <c r="A8" t="s">
        <v>57</v>
      </c>
      <c r="B8">
        <v>0.92518759567567399</v>
      </c>
      <c r="C8">
        <v>0.15594311348242501</v>
      </c>
      <c r="D8">
        <v>5.9328531732819698</v>
      </c>
      <c r="E8">
        <v>2.9771507336080501E-9</v>
      </c>
      <c r="F8" t="s">
        <v>81</v>
      </c>
      <c r="G8">
        <v>2.5223413963161501</v>
      </c>
      <c r="H8">
        <v>1.8580714467846999</v>
      </c>
      <c r="I8">
        <v>3.42409121596459</v>
      </c>
      <c r="J8" t="str">
        <f t="shared" si="0"/>
        <v>2.52 (1.86-3.42</v>
      </c>
      <c r="K8" t="s">
        <v>82</v>
      </c>
      <c r="L8">
        <v>1.5552610589853899</v>
      </c>
      <c r="M8">
        <v>1.75212826344027</v>
      </c>
      <c r="N8">
        <v>1.3583938545305201</v>
      </c>
      <c r="O8">
        <v>156.46903800557499</v>
      </c>
      <c r="P8">
        <v>2</v>
      </c>
      <c r="Q8">
        <v>1.05482424328833E-34</v>
      </c>
      <c r="R8" t="s">
        <v>73</v>
      </c>
    </row>
    <row r="9" spans="1:18" x14ac:dyDescent="0.3">
      <c r="A9" t="s">
        <v>58</v>
      </c>
      <c r="B9">
        <v>1.7859827623126401</v>
      </c>
      <c r="C9">
        <v>0.148081711134851</v>
      </c>
      <c r="D9">
        <v>12.060792305987301</v>
      </c>
      <c r="E9">
        <v>1.7013822706569299E-33</v>
      </c>
      <c r="F9" t="s">
        <v>73</v>
      </c>
      <c r="G9">
        <v>5.9654396770432401</v>
      </c>
      <c r="H9">
        <v>4.4626493239180096</v>
      </c>
      <c r="I9">
        <v>7.9742923894361502</v>
      </c>
      <c r="J9" t="str">
        <f t="shared" si="0"/>
        <v>5.97 (4.46-7.97</v>
      </c>
      <c r="K9" t="s">
        <v>82</v>
      </c>
      <c r="L9">
        <v>1.5552610589853899</v>
      </c>
      <c r="M9">
        <v>1.75212826344027</v>
      </c>
      <c r="N9">
        <v>1.75212826344027</v>
      </c>
      <c r="O9">
        <v>156.46903800557499</v>
      </c>
      <c r="P9">
        <v>2</v>
      </c>
      <c r="Q9">
        <v>1.05482424328833E-34</v>
      </c>
      <c r="R9" t="s">
        <v>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83</v>
      </c>
    </row>
    <row r="2" spans="1:1" x14ac:dyDescent="0.3">
      <c r="A2" t="s">
        <v>84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2025-10-13T04:00:32Z</dcterms:created>
  <dcterms:modified xsi:type="dcterms:W3CDTF">2025-10-22T08:40:55Z</dcterms:modified>
</cp:coreProperties>
</file>