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3Month\CT\Original\"/>
    </mc:Choice>
  </mc:AlternateContent>
  <xr:revisionPtr revIDLastSave="0" documentId="13_ncr:1_{F22BBA16-2F15-45DF-82BA-BB07E96E93C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" i="6"/>
</calcChain>
</file>

<file path=xl/sharedStrings.xml><?xml version="1.0" encoding="utf-8"?>
<sst xmlns="http://schemas.openxmlformats.org/spreadsheetml/2006/main" count="181" uniqueCount="124">
  <si>
    <t>Item</t>
  </si>
  <si>
    <t>Value</t>
  </si>
  <si>
    <t>Formula</t>
  </si>
  <si>
    <t>GOSE_3_Unfav ~ Age + InjuryHx.InjCause + arr_status + Upper_Lower_Extremities_imputed + arr_pp_prompt + head_neck_AIS + EDH + contusion + SAH + IVH + MidlineShift + basal_cistern_compression</t>
  </si>
  <si>
    <t>N_total</t>
  </si>
  <si>
    <t>2310</t>
  </si>
  <si>
    <t>Pos_Level</t>
  </si>
  <si>
    <t>1</t>
  </si>
  <si>
    <t>Penalty</t>
  </si>
  <si>
    <t>lasso</t>
  </si>
  <si>
    <t>Alpha</t>
  </si>
  <si>
    <t>Lambda_Chosen</t>
  </si>
  <si>
    <t>0.025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</si>
  <si>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</si>
  <si>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</si>
  <si>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</si>
  <si>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</si>
  <si>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</si>
  <si>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</si>
  <si>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</si>
  <si>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</si>
  <si>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</si>
  <si>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</si>
  <si>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</si>
  <si>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</si>
  <si>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</si>
  <si>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</si>
  <si>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</si>
  <si>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</si>
  <si>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</si>
  <si>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</si>
  <si>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</si>
  <si>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</si>
  <si>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</si>
  <si>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</si>
  <si>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</si>
  <si>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</si>
  <si>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</si>
  <si>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</si>
  <si>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</si>
  <si>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</si>
  <si>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</si>
  <si>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</si>
  <si>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</si>
  <si>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</si>
  <si>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</si>
  <si>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</si>
  <si>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</si>
  <si>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</si>
  <si>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lambda=0.025</t>
  </si>
  <si>
    <t>(Intercept)</t>
  </si>
  <si>
    <t>Age</t>
  </si>
  <si>
    <t>InjuryHx.InjCause1</t>
  </si>
  <si>
    <t>InjuryHx.InjCause3</t>
  </si>
  <si>
    <t>InjuryHx.InjCause88</t>
  </si>
  <si>
    <t>arr_statusComa</t>
  </si>
  <si>
    <t>arr_statusDrowsy</t>
  </si>
  <si>
    <t>arr_statusSemicoma</t>
  </si>
  <si>
    <t>arr_statusStupor</t>
  </si>
  <si>
    <t>Upper_Lower_Extremities_imputedBoth Bilateral</t>
  </si>
  <si>
    <t>arr_pp_promptbilateral absence</t>
  </si>
  <si>
    <t>head_neck_AIS4</t>
  </si>
  <si>
    <t>head_neck_AIS5</t>
  </si>
  <si>
    <t>EDHpresent</t>
  </si>
  <si>
    <t>contusionpresent</t>
  </si>
  <si>
    <t>SAHpresent</t>
  </si>
  <si>
    <t>IVHpresent</t>
  </si>
  <si>
    <t>MidlineShiftpresent</t>
  </si>
  <si>
    <t>basal_cistern_compressionpresent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</si>
  <si>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</si>
  <si>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</si>
  <si>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</si>
  <si>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</si>
  <si>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</si>
  <si>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</si>
  <si>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</si>
  <si>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</si>
  <si>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</si>
  <si>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</si>
  <si>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</si>
  <si>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</si>
  <si>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</si>
  <si>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</si>
  <si>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</si>
  <si>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0.855</t>
  </si>
  <si>
    <t>InjuryHx.InjCause</t>
  </si>
  <si>
    <t>0.0567</t>
  </si>
  <si>
    <t>0.0241</t>
  </si>
  <si>
    <t>0.173</t>
  </si>
  <si>
    <t>2.68e-08</t>
  </si>
  <si>
    <t>arr_status</t>
  </si>
  <si>
    <t>7.58e-12</t>
  </si>
  <si>
    <t>0.000527</t>
  </si>
  <si>
    <t>2.59e-12</t>
  </si>
  <si>
    <t>5.41e-08</t>
  </si>
  <si>
    <t>1.16e-06</t>
  </si>
  <si>
    <t>Upper_Lower_Extremities_imputed</t>
  </si>
  <si>
    <t>8.83e-07</t>
  </si>
  <si>
    <t>9.54e-11</t>
  </si>
  <si>
    <t>arr_pp_prompt</t>
  </si>
  <si>
    <t>1.52e-11</t>
  </si>
  <si>
    <t>0.000176</t>
  </si>
  <si>
    <t>head_neck_AIS</t>
  </si>
  <si>
    <t>5.81e-08</t>
  </si>
  <si>
    <t>EDH</t>
  </si>
  <si>
    <t>3.41e-08</t>
  </si>
  <si>
    <t>0.00341</t>
  </si>
  <si>
    <t>contusion</t>
  </si>
  <si>
    <t>0.00329</t>
  </si>
  <si>
    <t>0.000742</t>
  </si>
  <si>
    <t>SAH</t>
  </si>
  <si>
    <t>0.000683</t>
  </si>
  <si>
    <t>0.0238</t>
  </si>
  <si>
    <t>IVH</t>
  </si>
  <si>
    <t>0.0233</t>
  </si>
  <si>
    <t>0.0045</t>
  </si>
  <si>
    <t>MidlineShift</t>
  </si>
  <si>
    <t>0.00439</t>
  </si>
  <si>
    <t>2.16e-05</t>
  </si>
  <si>
    <t>basal_cistern_compression</t>
  </si>
  <si>
    <t>2.02e-05</t>
  </si>
  <si>
    <t>JSON</t>
  </si>
  <si>
    <t>{"formula":"GOSE_3_Unfav ~ Age + InjuryHx.InjCause + arr_status + Upper_Lower_Extremities_imputed + arr_pp_prompt + head_neck_AIS + EDH + contusion + SAH + IVH + MidlineShift + basal_cistern_compression","penalty":"lasso","alpha":1,"lambda":0.025,"x_names":["Age","InjuryHx.InjCause1","InjuryHx.InjCause3","InjuryHx.InjCause88","arr_statusComa","arr_statusDrowsy","arr_statusSemicoma","arr_statusStupor","Upper_Lower_Extremities_imputedBoth Bilateral","arr_pp_promptbilateral absence","head_neck_AIS4","head_neck_AIS5","EDHpresent","contusionpresent","SAHpresent","IVHpresent","MidlineShiftpresent","basal_cistern_compressionpresent"],"train_test":false,"test_prop":{},"split_seed":{},"standardize":true,"threshold":0.5,"family":"binomial","link":"logit"}</t>
  </si>
  <si>
    <t>OR (95%CI)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</si>
</sst>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2310</v>
      </c>
      <c r="C2">
        <v>963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0.90059999999999996</v>
      </c>
    </row>
    <row r="3" spans="1:2" x14ac:dyDescent="0.3">
      <c r="A3" t="s">
        <v>30</v>
      </c>
      <c r="B3">
        <v>0.82469999999999999</v>
      </c>
    </row>
    <row r="4" spans="1:2" x14ac:dyDescent="0.3">
      <c r="A4" t="s">
        <v>31</v>
      </c>
      <c r="B4">
        <v>0.71340000000000003</v>
      </c>
    </row>
    <row r="5" spans="1:2" x14ac:dyDescent="0.3">
      <c r="A5" t="s">
        <v>32</v>
      </c>
      <c r="B5">
        <v>0.84189999999999998</v>
      </c>
    </row>
    <row r="6" spans="1:2" x14ac:dyDescent="0.3">
      <c r="A6" t="s">
        <v>33</v>
      </c>
      <c r="B6">
        <v>0.77229999999999999</v>
      </c>
    </row>
    <row r="7" spans="1:2" x14ac:dyDescent="0.3">
      <c r="A7" t="s">
        <v>34</v>
      </c>
      <c r="B7">
        <v>0.40460000000000002</v>
      </c>
    </row>
    <row r="8" spans="1:2" x14ac:dyDescent="0.3">
      <c r="A8" t="s">
        <v>35</v>
      </c>
      <c r="B8">
        <v>1898.356</v>
      </c>
    </row>
    <row r="9" spans="1:2" x14ac:dyDescent="0.3">
      <c r="A9" t="s">
        <v>36</v>
      </c>
      <c r="B9">
        <v>0.12590000000000001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-8.6317787967767502E-8</v>
      </c>
      <c r="C2">
        <v>5.2791308813596199E-2</v>
      </c>
      <c r="D2">
        <v>-1.63507573325283E-6</v>
      </c>
      <c r="E2">
        <v>0.99999869539831698</v>
      </c>
      <c r="F2">
        <v>-0.103471051592436</v>
      </c>
      <c r="G2">
        <v>0.10347087895686</v>
      </c>
    </row>
    <row r="3" spans="1:7" x14ac:dyDescent="0.3">
      <c r="A3" t="s">
        <v>45</v>
      </c>
      <c r="B3">
        <v>1.39833100682036</v>
      </c>
      <c r="C3">
        <v>5.5563843750730597E-2</v>
      </c>
      <c r="D3">
        <v>25.166203639430002</v>
      </c>
      <c r="E3">
        <v>9.3946852954555008E-140</v>
      </c>
      <c r="F3">
        <v>1.2894258730689201</v>
      </c>
      <c r="G3">
        <v>1.50723614057179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-3.0029896948246302</v>
      </c>
    </row>
    <row r="3" spans="1:3" x14ac:dyDescent="0.3">
      <c r="A3" t="s">
        <v>49</v>
      </c>
      <c r="B3" t="s">
        <v>51</v>
      </c>
      <c r="C3">
        <v>1.7904592113115E-2</v>
      </c>
    </row>
    <row r="4" spans="1:3" x14ac:dyDescent="0.3">
      <c r="A4" t="s">
        <v>49</v>
      </c>
      <c r="B4" t="s">
        <v>52</v>
      </c>
      <c r="C4">
        <v>0</v>
      </c>
    </row>
    <row r="5" spans="1:3" x14ac:dyDescent="0.3">
      <c r="A5" t="s">
        <v>49</v>
      </c>
      <c r="B5" t="s">
        <v>53</v>
      </c>
      <c r="C5">
        <v>0</v>
      </c>
    </row>
    <row r="6" spans="1:3" x14ac:dyDescent="0.3">
      <c r="A6" t="s">
        <v>49</v>
      </c>
      <c r="B6" t="s">
        <v>54</v>
      </c>
      <c r="C6">
        <v>0</v>
      </c>
    </row>
    <row r="7" spans="1:3" x14ac:dyDescent="0.3">
      <c r="A7" t="s">
        <v>49</v>
      </c>
      <c r="B7" t="s">
        <v>55</v>
      </c>
      <c r="C7">
        <v>0.311672278357082</v>
      </c>
    </row>
    <row r="8" spans="1:3" x14ac:dyDescent="0.3">
      <c r="A8" t="s">
        <v>49</v>
      </c>
      <c r="B8" t="s">
        <v>56</v>
      </c>
      <c r="C8">
        <v>0</v>
      </c>
    </row>
    <row r="9" spans="1:3" x14ac:dyDescent="0.3">
      <c r="A9" t="s">
        <v>49</v>
      </c>
      <c r="B9" t="s">
        <v>57</v>
      </c>
      <c r="C9">
        <v>0.42188145730184501</v>
      </c>
    </row>
    <row r="10" spans="1:3" x14ac:dyDescent="0.3">
      <c r="A10" t="s">
        <v>49</v>
      </c>
      <c r="B10" t="s">
        <v>58</v>
      </c>
      <c r="C10">
        <v>8.4558864811776296E-2</v>
      </c>
    </row>
    <row r="11" spans="1:3" x14ac:dyDescent="0.3">
      <c r="A11" t="s">
        <v>49</v>
      </c>
      <c r="B11" t="s">
        <v>59</v>
      </c>
      <c r="C11">
        <v>1.2181759083650801</v>
      </c>
    </row>
    <row r="12" spans="1:3" x14ac:dyDescent="0.3">
      <c r="A12" t="s">
        <v>49</v>
      </c>
      <c r="B12" t="s">
        <v>60</v>
      </c>
      <c r="C12">
        <v>1.1008218447167599</v>
      </c>
    </row>
    <row r="13" spans="1:3" x14ac:dyDescent="0.3">
      <c r="A13" t="s">
        <v>49</v>
      </c>
      <c r="B13" t="s">
        <v>61</v>
      </c>
      <c r="C13">
        <v>9.9061083962375701E-2</v>
      </c>
    </row>
    <row r="14" spans="1:3" x14ac:dyDescent="0.3">
      <c r="A14" t="s">
        <v>49</v>
      </c>
      <c r="B14" t="s">
        <v>62</v>
      </c>
      <c r="C14">
        <v>0.99529174585912294</v>
      </c>
    </row>
    <row r="15" spans="1:3" x14ac:dyDescent="0.3">
      <c r="A15" t="s">
        <v>49</v>
      </c>
      <c r="B15" t="s">
        <v>63</v>
      </c>
      <c r="C15">
        <v>-0.28032667663058503</v>
      </c>
    </row>
    <row r="16" spans="1:3" x14ac:dyDescent="0.3">
      <c r="A16" t="s">
        <v>49</v>
      </c>
      <c r="B16" t="s">
        <v>64</v>
      </c>
      <c r="C16">
        <v>0.25009788447613102</v>
      </c>
    </row>
    <row r="17" spans="1:3" x14ac:dyDescent="0.3">
      <c r="A17" t="s">
        <v>49</v>
      </c>
      <c r="B17" t="s">
        <v>65</v>
      </c>
      <c r="C17">
        <v>0.38540973687621599</v>
      </c>
    </row>
    <row r="18" spans="1:3" x14ac:dyDescent="0.3">
      <c r="A18" t="s">
        <v>49</v>
      </c>
      <c r="B18" t="s">
        <v>66</v>
      </c>
      <c r="C18">
        <v>0.25564371319934398</v>
      </c>
    </row>
    <row r="19" spans="1:3" x14ac:dyDescent="0.3">
      <c r="A19" t="s">
        <v>49</v>
      </c>
      <c r="B19" t="s">
        <v>67</v>
      </c>
      <c r="C19">
        <v>0.35499308053416601</v>
      </c>
    </row>
    <row r="20" spans="1:3" x14ac:dyDescent="0.3">
      <c r="A20" t="s">
        <v>49</v>
      </c>
      <c r="B20" t="s">
        <v>68</v>
      </c>
      <c r="C20">
        <v>0.56385600033973304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"/>
  <sheetViews>
    <sheetView tabSelected="1" workbookViewId="0">
      <pane ySplit="1" topLeftCell="A2" activePane="bottomLeft" state="frozen"/>
      <selection pane="bottomLeft" activeCell="J18" sqref="J18"/>
    </sheetView>
  </sheetViews>
  <sheetFormatPr defaultColWidth="11.5546875" defaultRowHeight="14.4" x14ac:dyDescent="0.3"/>
  <sheetData>
    <row r="1" spans="1:18" x14ac:dyDescent="0.3">
      <c r="A1" t="s">
        <v>69</v>
      </c>
      <c r="B1" t="s">
        <v>70</v>
      </c>
      <c r="C1" t="s">
        <v>71</v>
      </c>
      <c r="D1" t="s">
        <v>72</v>
      </c>
      <c r="E1" t="s">
        <v>41</v>
      </c>
      <c r="F1" t="s">
        <v>73</v>
      </c>
      <c r="G1" t="s">
        <v>74</v>
      </c>
      <c r="H1" t="s">
        <v>42</v>
      </c>
      <c r="I1" t="s">
        <v>43</v>
      </c>
      <c r="J1" t="s">
        <v>123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</row>
    <row r="2" spans="1:18" x14ac:dyDescent="0.3">
      <c r="A2" t="s">
        <v>51</v>
      </c>
      <c r="B2">
        <v>3.3054637957179403E-2</v>
      </c>
      <c r="C2">
        <v>3.9726966145283999E-3</v>
      </c>
      <c r="D2">
        <v>8.3204536274671792</v>
      </c>
      <c r="E2">
        <v>8.7627291135679498E-17</v>
      </c>
      <c r="F2" t="s">
        <v>83</v>
      </c>
      <c r="G2">
        <v>1.03360701187417</v>
      </c>
      <c r="H2">
        <v>1.0255900982986901</v>
      </c>
      <c r="I2">
        <v>1.04168659269204</v>
      </c>
      <c r="J2" t="str">
        <f>_xlfn.CONCAT(ROUND(G2,2), " (",ROUND(H2,2),"-",ROUND(I2,2),")")</f>
        <v>1.03 (1.03-1.04)</v>
      </c>
      <c r="K2" t="s">
        <v>51</v>
      </c>
      <c r="L2">
        <v>1.18288882988689</v>
      </c>
      <c r="M2">
        <v>1.18288882988689</v>
      </c>
      <c r="N2">
        <v>1.18288882988689</v>
      </c>
      <c r="O2">
        <v>74.089268777020806</v>
      </c>
      <c r="P2">
        <v>1</v>
      </c>
      <c r="Q2">
        <v>7.4663112875014101E-18</v>
      </c>
      <c r="R2" t="s">
        <v>83</v>
      </c>
    </row>
    <row r="3" spans="1:18" x14ac:dyDescent="0.3">
      <c r="A3" t="s">
        <v>52</v>
      </c>
      <c r="B3">
        <v>2.4588105749996099E-2</v>
      </c>
      <c r="C3">
        <v>0.134718836451862</v>
      </c>
      <c r="D3">
        <v>0.18251423778279199</v>
      </c>
      <c r="E3">
        <v>0.85517918188023301</v>
      </c>
      <c r="F3" t="s">
        <v>84</v>
      </c>
      <c r="G3">
        <v>1.02489288608578</v>
      </c>
      <c r="H3">
        <v>0.78705211440137401</v>
      </c>
      <c r="I3">
        <v>1.3346072118085499</v>
      </c>
      <c r="J3" t="str">
        <f t="shared" ref="J3:J19" si="0">_xlfn.CONCAT(ROUND(G3,2), " (",ROUND(H3,2),"-",ROUND(I3,2),")")</f>
        <v>1.02 (0.79-1.33)</v>
      </c>
      <c r="K3" t="s">
        <v>85</v>
      </c>
      <c r="L3">
        <v>1.14385286690462</v>
      </c>
      <c r="M3">
        <v>1.21715351794385</v>
      </c>
      <c r="N3">
        <v>1.21715351794385</v>
      </c>
      <c r="O3">
        <v>7.5354370276013496</v>
      </c>
      <c r="P3">
        <v>3</v>
      </c>
      <c r="Q3">
        <v>5.6654880276436503E-2</v>
      </c>
      <c r="R3" t="s">
        <v>86</v>
      </c>
    </row>
    <row r="4" spans="1:18" x14ac:dyDescent="0.3">
      <c r="A4" t="s">
        <v>53</v>
      </c>
      <c r="B4">
        <v>-0.72040081221114804</v>
      </c>
      <c r="C4">
        <v>0.31945288437630198</v>
      </c>
      <c r="D4">
        <v>-2.2551081785273399</v>
      </c>
      <c r="E4">
        <v>2.4126539419584099E-2</v>
      </c>
      <c r="F4" t="s">
        <v>87</v>
      </c>
      <c r="G4">
        <v>0.48655719880523501</v>
      </c>
      <c r="H4">
        <v>0.26014178606437699</v>
      </c>
      <c r="I4">
        <v>0.91003414442081298</v>
      </c>
      <c r="J4" t="str">
        <f t="shared" si="0"/>
        <v>0.49 (0.26-0.91)</v>
      </c>
      <c r="K4" t="s">
        <v>85</v>
      </c>
      <c r="L4">
        <v>1.14385286690462</v>
      </c>
      <c r="M4">
        <v>1.21715351794385</v>
      </c>
      <c r="N4">
        <v>1.13231733250255</v>
      </c>
      <c r="O4">
        <v>7.5354370276013496</v>
      </c>
      <c r="P4">
        <v>3</v>
      </c>
      <c r="Q4">
        <v>5.6654880276436503E-2</v>
      </c>
      <c r="R4" t="s">
        <v>86</v>
      </c>
    </row>
    <row r="5" spans="1:18" x14ac:dyDescent="0.3">
      <c r="A5" t="s">
        <v>54</v>
      </c>
      <c r="B5">
        <v>-0.352446796296631</v>
      </c>
      <c r="C5">
        <v>0.25882476677169702</v>
      </c>
      <c r="D5">
        <v>-1.36171974843318</v>
      </c>
      <c r="E5">
        <v>0.173286346414635</v>
      </c>
      <c r="F5" t="s">
        <v>88</v>
      </c>
      <c r="G5">
        <v>0.70296596920872101</v>
      </c>
      <c r="H5">
        <v>0.42327070538842598</v>
      </c>
      <c r="I5">
        <v>1.1674825296782001</v>
      </c>
      <c r="J5" t="str">
        <f t="shared" si="0"/>
        <v>0.7 (0.42-1.17)</v>
      </c>
      <c r="K5" t="s">
        <v>85</v>
      </c>
      <c r="L5">
        <v>1.14385286690462</v>
      </c>
      <c r="M5">
        <v>1.21715351794385</v>
      </c>
      <c r="N5">
        <v>1.0820877502674699</v>
      </c>
      <c r="O5">
        <v>7.5354370276013496</v>
      </c>
      <c r="P5">
        <v>3</v>
      </c>
      <c r="Q5">
        <v>5.6654880276436503E-2</v>
      </c>
      <c r="R5" t="s">
        <v>86</v>
      </c>
    </row>
    <row r="6" spans="1:18" x14ac:dyDescent="0.3">
      <c r="A6" t="s">
        <v>55</v>
      </c>
      <c r="B6">
        <v>2.0614131386557699</v>
      </c>
      <c r="C6">
        <v>0.37067430255804501</v>
      </c>
      <c r="D6">
        <v>5.5612518171069203</v>
      </c>
      <c r="E6">
        <v>2.6784638231503801E-8</v>
      </c>
      <c r="F6" t="s">
        <v>89</v>
      </c>
      <c r="G6">
        <v>7.8570650912882103</v>
      </c>
      <c r="H6">
        <v>3.79958369066278</v>
      </c>
      <c r="I6">
        <v>16.247430475198101</v>
      </c>
      <c r="J6" t="str">
        <f t="shared" si="0"/>
        <v>7.86 (3.8-16.25)</v>
      </c>
      <c r="K6" t="s">
        <v>90</v>
      </c>
      <c r="L6">
        <v>2.2534656454099502</v>
      </c>
      <c r="M6">
        <v>2.8511123736197002</v>
      </c>
      <c r="N6">
        <v>2.8511123736197002</v>
      </c>
      <c r="O6">
        <v>58.014032711995704</v>
      </c>
      <c r="P6">
        <v>4</v>
      </c>
      <c r="Q6">
        <v>7.5794147944902302E-12</v>
      </c>
      <c r="R6" t="s">
        <v>91</v>
      </c>
    </row>
    <row r="7" spans="1:18" x14ac:dyDescent="0.3">
      <c r="A7" t="s">
        <v>56</v>
      </c>
      <c r="B7">
        <v>0.66174327815698597</v>
      </c>
      <c r="C7">
        <v>0.19089143914561199</v>
      </c>
      <c r="D7">
        <v>3.4665948411243801</v>
      </c>
      <c r="E7">
        <v>5.2709574516541895E-4</v>
      </c>
      <c r="F7" t="s">
        <v>92</v>
      </c>
      <c r="G7">
        <v>1.93816815726109</v>
      </c>
      <c r="H7">
        <v>1.3332186515719899</v>
      </c>
      <c r="I7">
        <v>2.8176142010851701</v>
      </c>
      <c r="J7" t="str">
        <f t="shared" si="0"/>
        <v>1.94 (1.33-2.82)</v>
      </c>
      <c r="K7" t="s">
        <v>90</v>
      </c>
      <c r="L7">
        <v>2.2534656454099502</v>
      </c>
      <c r="M7">
        <v>2.8511123736197002</v>
      </c>
      <c r="N7">
        <v>1.6187073470153801</v>
      </c>
      <c r="O7">
        <v>58.014032711995704</v>
      </c>
      <c r="P7">
        <v>4</v>
      </c>
      <c r="Q7">
        <v>7.5794147944902302E-12</v>
      </c>
      <c r="R7" t="s">
        <v>91</v>
      </c>
    </row>
    <row r="8" spans="1:18" x14ac:dyDescent="0.3">
      <c r="A8" t="s">
        <v>57</v>
      </c>
      <c r="B8">
        <v>1.6608035103997101</v>
      </c>
      <c r="C8">
        <v>0.23731637258674801</v>
      </c>
      <c r="D8">
        <v>6.9982677229428401</v>
      </c>
      <c r="E8">
        <v>2.59146546214927E-12</v>
      </c>
      <c r="F8" t="s">
        <v>93</v>
      </c>
      <c r="G8">
        <v>5.2635384536422496</v>
      </c>
      <c r="H8">
        <v>3.30575014437827</v>
      </c>
      <c r="I8">
        <v>8.3808018885169506</v>
      </c>
      <c r="J8" t="str">
        <f t="shared" si="0"/>
        <v>5.26 (3.31-8.38)</v>
      </c>
      <c r="K8" t="s">
        <v>90</v>
      </c>
      <c r="L8">
        <v>2.2534656454099502</v>
      </c>
      <c r="M8">
        <v>2.8511123736197002</v>
      </c>
      <c r="N8">
        <v>2.8004923273948501</v>
      </c>
      <c r="O8">
        <v>58.014032711995704</v>
      </c>
      <c r="P8">
        <v>4</v>
      </c>
      <c r="Q8">
        <v>7.5794147944902302E-12</v>
      </c>
      <c r="R8" t="s">
        <v>91</v>
      </c>
    </row>
    <row r="9" spans="1:18" x14ac:dyDescent="0.3">
      <c r="A9" t="s">
        <v>58</v>
      </c>
      <c r="B9">
        <v>1.15519061842733</v>
      </c>
      <c r="C9">
        <v>0.21245544667521399</v>
      </c>
      <c r="D9">
        <v>5.4373311510968403</v>
      </c>
      <c r="E9">
        <v>5.4084562643358697E-8</v>
      </c>
      <c r="F9" t="s">
        <v>94</v>
      </c>
      <c r="G9">
        <v>3.17462850254811</v>
      </c>
      <c r="H9">
        <v>2.0933757261320598</v>
      </c>
      <c r="I9">
        <v>4.8143608447263899</v>
      </c>
      <c r="J9" t="str">
        <f t="shared" si="0"/>
        <v>3.17 (2.09-4.81)</v>
      </c>
      <c r="K9" t="s">
        <v>90</v>
      </c>
      <c r="L9">
        <v>2.2534656454099502</v>
      </c>
      <c r="M9">
        <v>2.8511123736197002</v>
      </c>
      <c r="N9">
        <v>1.74355053360987</v>
      </c>
      <c r="O9">
        <v>58.014032711995704</v>
      </c>
      <c r="P9">
        <v>4</v>
      </c>
      <c r="Q9">
        <v>7.5794147944902302E-12</v>
      </c>
      <c r="R9" t="s">
        <v>91</v>
      </c>
    </row>
    <row r="10" spans="1:18" x14ac:dyDescent="0.3">
      <c r="A10" t="s">
        <v>59</v>
      </c>
      <c r="B10">
        <v>0.94495517857338196</v>
      </c>
      <c r="C10">
        <v>0.19434549709388299</v>
      </c>
      <c r="D10">
        <v>4.8622437499382896</v>
      </c>
      <c r="E10">
        <v>1.1606257748044601E-6</v>
      </c>
      <c r="F10" t="s">
        <v>95</v>
      </c>
      <c r="G10">
        <v>2.57269806400658</v>
      </c>
      <c r="H10">
        <v>1.7577560153335401</v>
      </c>
      <c r="I10">
        <v>3.76546874014665</v>
      </c>
      <c r="J10" t="str">
        <f t="shared" si="0"/>
        <v>2.57 (1.76-3.77)</v>
      </c>
      <c r="K10" t="s">
        <v>96</v>
      </c>
      <c r="L10">
        <v>2.5922854189111799</v>
      </c>
      <c r="M10">
        <v>2.5922854189111799</v>
      </c>
      <c r="N10">
        <v>2.5922854189111799</v>
      </c>
      <c r="O10">
        <v>24.166825822110699</v>
      </c>
      <c r="P10">
        <v>1</v>
      </c>
      <c r="Q10">
        <v>8.8340955059445598E-7</v>
      </c>
      <c r="R10" t="s">
        <v>97</v>
      </c>
    </row>
    <row r="11" spans="1:18" x14ac:dyDescent="0.3">
      <c r="A11" t="s">
        <v>60</v>
      </c>
      <c r="B11">
        <v>1.33665014267605</v>
      </c>
      <c r="C11">
        <v>0.20646104133325499</v>
      </c>
      <c r="D11">
        <v>6.4741034630282597</v>
      </c>
      <c r="E11">
        <v>9.5376534355798105E-11</v>
      </c>
      <c r="F11" t="s">
        <v>98</v>
      </c>
      <c r="G11">
        <v>3.8062716583852798</v>
      </c>
      <c r="H11">
        <v>2.5395489884527098</v>
      </c>
      <c r="I11">
        <v>5.7048334185725098</v>
      </c>
      <c r="J11" t="str">
        <f t="shared" si="0"/>
        <v>3.81 (2.54-5.7)</v>
      </c>
      <c r="K11" t="s">
        <v>99</v>
      </c>
      <c r="L11">
        <v>1.7252034222481401</v>
      </c>
      <c r="M11">
        <v>1.7252034222481401</v>
      </c>
      <c r="N11">
        <v>1.7252034222481401</v>
      </c>
      <c r="O11">
        <v>45.514439585953802</v>
      </c>
      <c r="P11">
        <v>1</v>
      </c>
      <c r="Q11">
        <v>1.51517692796553E-11</v>
      </c>
      <c r="R11" t="s">
        <v>100</v>
      </c>
    </row>
    <row r="12" spans="1:18" x14ac:dyDescent="0.3">
      <c r="A12" t="s">
        <v>61</v>
      </c>
      <c r="B12">
        <v>0.63771048724919099</v>
      </c>
      <c r="C12">
        <v>0.17002186035807801</v>
      </c>
      <c r="D12">
        <v>3.7507558493133</v>
      </c>
      <c r="E12">
        <v>1.7630230673326301E-4</v>
      </c>
      <c r="F12" t="s">
        <v>101</v>
      </c>
      <c r="G12">
        <v>1.89214382891073</v>
      </c>
      <c r="H12">
        <v>1.35590298360867</v>
      </c>
      <c r="I12">
        <v>2.6404604994351502</v>
      </c>
      <c r="J12" t="str">
        <f t="shared" si="0"/>
        <v>1.89 (1.36-2.64)</v>
      </c>
      <c r="K12" t="s">
        <v>102</v>
      </c>
      <c r="L12">
        <v>1.9025865862311599</v>
      </c>
      <c r="M12">
        <v>2.3205775599158498</v>
      </c>
      <c r="N12">
        <v>1.4845956125464701</v>
      </c>
      <c r="O12">
        <v>80.386965906237293</v>
      </c>
      <c r="P12">
        <v>2</v>
      </c>
      <c r="Q12">
        <v>3.5010002758846298E-18</v>
      </c>
      <c r="R12" t="s">
        <v>83</v>
      </c>
    </row>
    <row r="13" spans="1:18" x14ac:dyDescent="0.3">
      <c r="A13" t="s">
        <v>62</v>
      </c>
      <c r="B13">
        <v>1.53211111055816</v>
      </c>
      <c r="C13">
        <v>0.17626918701370101</v>
      </c>
      <c r="D13">
        <v>8.6918827760807993</v>
      </c>
      <c r="E13">
        <v>3.56481801122702E-18</v>
      </c>
      <c r="F13" t="s">
        <v>83</v>
      </c>
      <c r="G13">
        <v>4.6279366025115198</v>
      </c>
      <c r="H13">
        <v>3.2760011073552699</v>
      </c>
      <c r="I13">
        <v>6.5377869222262097</v>
      </c>
      <c r="J13" t="str">
        <f t="shared" si="0"/>
        <v>4.63 (3.28-6.54)</v>
      </c>
      <c r="K13" t="s">
        <v>102</v>
      </c>
      <c r="L13">
        <v>1.9025865862311599</v>
      </c>
      <c r="M13">
        <v>2.3205775599158498</v>
      </c>
      <c r="N13">
        <v>2.3205775599158498</v>
      </c>
      <c r="O13">
        <v>80.386965906237293</v>
      </c>
      <c r="P13">
        <v>2</v>
      </c>
      <c r="Q13">
        <v>3.5010002758846298E-18</v>
      </c>
      <c r="R13" t="s">
        <v>83</v>
      </c>
    </row>
    <row r="14" spans="1:18" x14ac:dyDescent="0.3">
      <c r="A14" t="s">
        <v>63</v>
      </c>
      <c r="B14">
        <v>-0.79034155258920002</v>
      </c>
      <c r="C14">
        <v>0.14569661629428499</v>
      </c>
      <c r="D14">
        <v>-5.4245704031508097</v>
      </c>
      <c r="E14">
        <v>5.8094089539352599E-8</v>
      </c>
      <c r="F14" t="s">
        <v>103</v>
      </c>
      <c r="G14">
        <v>0.45368980988676999</v>
      </c>
      <c r="H14">
        <v>0.34098836567834001</v>
      </c>
      <c r="I14">
        <v>0.60364066435410602</v>
      </c>
      <c r="J14" t="str">
        <f t="shared" si="0"/>
        <v>0.45 (0.34-0.6)</v>
      </c>
      <c r="K14" t="s">
        <v>104</v>
      </c>
      <c r="L14">
        <v>1.1414357349320501</v>
      </c>
      <c r="M14">
        <v>1.1414357349320501</v>
      </c>
      <c r="N14">
        <v>1.1414357349320501</v>
      </c>
      <c r="O14">
        <v>30.460326858176099</v>
      </c>
      <c r="P14">
        <v>1</v>
      </c>
      <c r="Q14">
        <v>3.4076449205060702E-8</v>
      </c>
      <c r="R14" t="s">
        <v>105</v>
      </c>
    </row>
    <row r="15" spans="1:18" x14ac:dyDescent="0.3">
      <c r="A15" t="s">
        <v>64</v>
      </c>
      <c r="B15">
        <v>0.44396626121217603</v>
      </c>
      <c r="C15">
        <v>0.15163446993354299</v>
      </c>
      <c r="D15">
        <v>2.9278716205276698</v>
      </c>
      <c r="E15">
        <v>3.4129093319846902E-3</v>
      </c>
      <c r="F15" t="s">
        <v>106</v>
      </c>
      <c r="G15">
        <v>1.5588778900842899</v>
      </c>
      <c r="H15">
        <v>1.158079118411</v>
      </c>
      <c r="I15">
        <v>2.0983888212473598</v>
      </c>
      <c r="J15" t="str">
        <f t="shared" si="0"/>
        <v>1.56 (1.16-2.1)</v>
      </c>
      <c r="K15" t="s">
        <v>107</v>
      </c>
      <c r="L15">
        <v>1.23379620928706</v>
      </c>
      <c r="M15">
        <v>1.23379620928706</v>
      </c>
      <c r="N15">
        <v>1.23379620928706</v>
      </c>
      <c r="O15">
        <v>8.6416087558177406</v>
      </c>
      <c r="P15">
        <v>1</v>
      </c>
      <c r="Q15">
        <v>3.2857116430047499E-3</v>
      </c>
      <c r="R15" t="s">
        <v>108</v>
      </c>
    </row>
    <row r="16" spans="1:18" x14ac:dyDescent="0.3">
      <c r="A16" t="s">
        <v>65</v>
      </c>
      <c r="B16">
        <v>0.51388519695267298</v>
      </c>
      <c r="C16">
        <v>0.15233425774607101</v>
      </c>
      <c r="D16">
        <v>3.3734053295436701</v>
      </c>
      <c r="E16">
        <v>7.4244572290117295E-4</v>
      </c>
      <c r="F16" t="s">
        <v>109</v>
      </c>
      <c r="G16">
        <v>1.6717737640963599</v>
      </c>
      <c r="H16">
        <v>1.2402463779436601</v>
      </c>
      <c r="I16">
        <v>2.25344541860688</v>
      </c>
      <c r="J16" t="str">
        <f t="shared" si="0"/>
        <v>1.67 (1.24-2.25)</v>
      </c>
      <c r="K16" t="s">
        <v>110</v>
      </c>
      <c r="L16">
        <v>1.2856870289836799</v>
      </c>
      <c r="M16">
        <v>1.2856870289836799</v>
      </c>
      <c r="N16">
        <v>1.2856870289836799</v>
      </c>
      <c r="O16">
        <v>11.5344928835771</v>
      </c>
      <c r="P16">
        <v>1</v>
      </c>
      <c r="Q16">
        <v>6.8316710259372099E-4</v>
      </c>
      <c r="R16" t="s">
        <v>111</v>
      </c>
    </row>
    <row r="17" spans="1:18" x14ac:dyDescent="0.3">
      <c r="A17" t="s">
        <v>66</v>
      </c>
      <c r="B17">
        <v>0.39857464163247702</v>
      </c>
      <c r="C17">
        <v>0.17630490972579199</v>
      </c>
      <c r="D17">
        <v>2.26071209390811</v>
      </c>
      <c r="E17">
        <v>2.3777091084440601E-2</v>
      </c>
      <c r="F17" t="s">
        <v>112</v>
      </c>
      <c r="G17">
        <v>1.48969982753605</v>
      </c>
      <c r="H17">
        <v>1.0544475901567001</v>
      </c>
      <c r="I17">
        <v>2.10461439418828</v>
      </c>
      <c r="J17" t="str">
        <f t="shared" si="0"/>
        <v>1.49 (1.05-2.1)</v>
      </c>
      <c r="K17" t="s">
        <v>113</v>
      </c>
      <c r="L17">
        <v>1.13735662350929</v>
      </c>
      <c r="M17">
        <v>1.13735662350929</v>
      </c>
      <c r="N17">
        <v>1.13735662350929</v>
      </c>
      <c r="O17">
        <v>5.1426811261083003</v>
      </c>
      <c r="P17">
        <v>1</v>
      </c>
      <c r="Q17">
        <v>2.3344568626830601E-2</v>
      </c>
      <c r="R17" t="s">
        <v>114</v>
      </c>
    </row>
    <row r="18" spans="1:18" x14ac:dyDescent="0.3">
      <c r="A18" t="s">
        <v>67</v>
      </c>
      <c r="B18">
        <v>0.47300231531759801</v>
      </c>
      <c r="C18">
        <v>0.16650577154849</v>
      </c>
      <c r="D18">
        <v>2.84075627480486</v>
      </c>
      <c r="E18">
        <v>4.50066946484426E-3</v>
      </c>
      <c r="F18" t="s">
        <v>115</v>
      </c>
      <c r="G18">
        <v>1.6048050986054401</v>
      </c>
      <c r="H18">
        <v>1.1579497716023299</v>
      </c>
      <c r="I18">
        <v>2.2241028649682</v>
      </c>
      <c r="J18" t="str">
        <f t="shared" si="0"/>
        <v>1.6 (1.16-2.22)</v>
      </c>
      <c r="K18" t="s">
        <v>116</v>
      </c>
      <c r="L18">
        <v>1.4581269742734599</v>
      </c>
      <c r="M18">
        <v>1.4581269742734599</v>
      </c>
      <c r="N18">
        <v>1.4581269742734599</v>
      </c>
      <c r="O18">
        <v>8.1132360121000602</v>
      </c>
      <c r="P18">
        <v>1</v>
      </c>
      <c r="Q18">
        <v>4.3943212024306899E-3</v>
      </c>
      <c r="R18" t="s">
        <v>117</v>
      </c>
    </row>
    <row r="19" spans="1:18" x14ac:dyDescent="0.3">
      <c r="A19" t="s">
        <v>68</v>
      </c>
      <c r="B19">
        <v>0.65443963629181701</v>
      </c>
      <c r="C19">
        <v>0.154059424042395</v>
      </c>
      <c r="D19">
        <v>4.2479688624028897</v>
      </c>
      <c r="E19">
        <v>2.1571736734717501E-5</v>
      </c>
      <c r="F19" t="s">
        <v>118</v>
      </c>
      <c r="G19">
        <v>1.92406403957468</v>
      </c>
      <c r="H19">
        <v>1.4225957063883401</v>
      </c>
      <c r="I19">
        <v>2.60230113992333</v>
      </c>
      <c r="J19" t="str">
        <f t="shared" si="0"/>
        <v>1.92 (1.42-2.6)</v>
      </c>
      <c r="K19" t="s">
        <v>119</v>
      </c>
      <c r="L19">
        <v>1.25705837190912</v>
      </c>
      <c r="M19">
        <v>1.25705837190912</v>
      </c>
      <c r="N19">
        <v>1.25705837190912</v>
      </c>
      <c r="O19">
        <v>18.174175514466501</v>
      </c>
      <c r="P19">
        <v>1</v>
      </c>
      <c r="Q19">
        <v>2.0159394581263101E-5</v>
      </c>
      <c r="R19" t="s">
        <v>120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121</v>
      </c>
    </row>
    <row r="2" spans="1:1" x14ac:dyDescent="0.3">
      <c r="A2" t="s">
        <v>122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2025-10-13T04:04:11Z</dcterms:created>
  <dcterms:modified xsi:type="dcterms:W3CDTF">2025-10-15T02:19:12Z</dcterms:modified>
</cp:coreProperties>
</file>