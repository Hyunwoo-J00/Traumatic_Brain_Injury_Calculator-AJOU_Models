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ced\Desktop\TBI_risk_factor_R\Final_Model\3Month\CT\Alternative\"/>
    </mc:Choice>
  </mc:AlternateContent>
  <xr:revisionPtr revIDLastSave="0" documentId="13_ncr:1_{6E559395-A0BD-4CFC-A777-F38850615C13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odel_Info" sheetId="1" r:id="rId1"/>
    <sheet name="Split_Info" sheetId="2" r:id="rId2"/>
    <sheet name="Train_Metrics" sheetId="3" r:id="rId3"/>
    <sheet name="Calibration_Stats_Train" sheetId="4" r:id="rId4"/>
    <sheet name="Coefficients" sheetId="5" r:id="rId5"/>
    <sheet name="Variable_Summary" sheetId="6" r:id="rId6"/>
    <sheet name="Calibration_Plot_Train" sheetId="7" r:id="rId7"/>
    <sheet name="Specs_JS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6" l="1"/>
  <c r="J3" i="6"/>
  <c r="J4" i="6"/>
  <c r="J5" i="6"/>
  <c r="J6" i="6"/>
  <c r="J7" i="6"/>
  <c r="J8" i="6"/>
  <c r="J9" i="6"/>
  <c r="J10" i="6"/>
  <c r="J11" i="6"/>
  <c r="J12" i="6"/>
  <c r="J13" i="6"/>
  <c r="J14" i="6"/>
  <c r="J15" i="6"/>
</calcChain>
</file>

<file path=xl/sharedStrings.xml><?xml version="1.0" encoding="utf-8"?>
<sst xmlns="http://schemas.openxmlformats.org/spreadsheetml/2006/main" count="157" uniqueCount="111">
  <si>
    <t>Item</t>
  </si>
  <si>
    <t>Value</t>
  </si>
  <si>
    <t>Formula</t>
  </si>
  <si>
    <t>GOSE_3_Unfav ~ Age + InjuryHx.InjCause + arr_GCS_derived + arr_pp_prompt + head_neck_AIS + EDH + contusion + SAH + IVH + MidlineShift + basal_cistern_compression</t>
  </si>
  <si>
    <t>N_total</t>
  </si>
  <si>
    <t>2310</t>
  </si>
  <si>
    <t>Pos_Level</t>
  </si>
  <si>
    <t>1</t>
  </si>
  <si>
    <t>Penalty</t>
  </si>
  <si>
    <t>lasso</t>
  </si>
  <si>
    <t>Alpha</t>
  </si>
  <si>
    <t>Lambda_Chosen</t>
  </si>
  <si>
    <t>0.025</t>
  </si>
  <si>
    <t>Use_CV</t>
  </si>
  <si>
    <t>FALSE</t>
  </si>
  <si>
    <t>Choose</t>
  </si>
  <si>
    <t>nfolds</t>
  </si>
  <si>
    <t>Threshold</t>
  </si>
  <si>
    <t>0.5</t>
  </si>
  <si>
    <t>Standardize</t>
  </si>
  <si>
    <t>TRUE</t>
  </si>
  <si>
    <t>Train_Test</t>
  </si>
  <si>
    <t>Test_Prop</t>
  </si>
  <si>
    <t>Split_Seed</t>
  </si>
  <si>
    <t>Set</t>
  </si>
  <si>
    <t>N</t>
  </si>
  <si>
    <t>Events</t>
  </si>
  <si>
    <t>All</t>
  </si>
  <si>
    <t>Metric</t>
  </si>
  <si>
    <t>AUROC</t>
  </si>
  <si>
    <t>Accuracy</t>
  </si>
  <si>
    <t>Recall</t>
  </si>
  <si>
    <t>Precision</t>
  </si>
  <si>
    <t>F1</t>
  </si>
  <si>
    <t>PseudoR2</t>
  </si>
  <si>
    <t>AIC_like</t>
  </si>
  <si>
    <t>Brier</t>
  </si>
  <si>
    <t>Term</t>
  </si>
  <si>
    <t>Estimate</t>
  </si>
  <si>
    <t>SE</t>
  </si>
  <si>
    <t>Z</t>
  </si>
  <si>
    <t>P_value</t>
  </si>
  <si>
    <t>CI_lower</t>
  </si>
  <si>
    <t>CI_upper</t>
  </si>
  <si>
    <t>CITL (Intercept w/ offset)</t>
  </si>
  <si>
    <t>Calibration slope</t>
  </si>
  <si>
    <t>Lambda</t>
  </si>
  <si>
    <t>Feature</t>
  </si>
  <si>
    <t>Coef</t>
  </si>
  <si>
    <t>lambda=0.025</t>
  </si>
  <si>
    <t>(Intercept)</t>
  </si>
  <si>
    <t>Age</t>
  </si>
  <si>
    <t>InjuryHx.InjCause1</t>
  </si>
  <si>
    <t>InjuryHx.InjCause3</t>
  </si>
  <si>
    <t>InjuryHx.InjCause88</t>
  </si>
  <si>
    <t>arr_GCS_derived</t>
  </si>
  <si>
    <t>arr_pp_promptbilateral absence</t>
  </si>
  <si>
    <t>head_neck_AIS4</t>
  </si>
  <si>
    <t>head_neck_AIS5</t>
  </si>
  <si>
    <t>EDHpresent</t>
  </si>
  <si>
    <t>contusionpresent</t>
  </si>
  <si>
    <t>SAHpresent</t>
  </si>
  <si>
    <t>IVHpresent</t>
  </si>
  <si>
    <t>MidlineShiftpresent</t>
  </si>
  <si>
    <t>basal_cistern_compressionpresent</t>
  </si>
  <si>
    <t>Variable</t>
  </si>
  <si>
    <t>Coefficient</t>
  </si>
  <si>
    <t>Std_Error</t>
  </si>
  <si>
    <t>Z_value</t>
  </si>
  <si>
    <t>P_value_str</t>
  </si>
  <si>
    <t>OR</t>
  </si>
  <si>
    <t>Original</t>
  </si>
  <si>
    <t>Avg_VIF</t>
  </si>
  <si>
    <t>Max_VIF</t>
  </si>
  <si>
    <t>VIF_raw</t>
  </si>
  <si>
    <t>LR_stat</t>
  </si>
  <si>
    <t>df_diff</t>
  </si>
  <si>
    <t>LR_pvalue</t>
  </si>
  <si>
    <t>LR_pvalue_str</t>
  </si>
  <si>
    <t>5.76e-16</t>
  </si>
  <si>
    <t>&lt; 1e-16</t>
  </si>
  <si>
    <t>0.828</t>
  </si>
  <si>
    <t>InjuryHx.InjCause</t>
  </si>
  <si>
    <t>0.0233</t>
  </si>
  <si>
    <t>0.0194</t>
  </si>
  <si>
    <t>0.0697</t>
  </si>
  <si>
    <t>6.22e-15</t>
  </si>
  <si>
    <t>arr_pp_prompt</t>
  </si>
  <si>
    <t>4.66e-05</t>
  </si>
  <si>
    <t>head_neck_AIS</t>
  </si>
  <si>
    <t>2.2e-08</t>
  </si>
  <si>
    <t>EDH</t>
  </si>
  <si>
    <t>1.25e-08</t>
  </si>
  <si>
    <t>0.00286</t>
  </si>
  <si>
    <t>contusion</t>
  </si>
  <si>
    <t>0.00275</t>
  </si>
  <si>
    <t>0.000128</t>
  </si>
  <si>
    <t>SAH</t>
  </si>
  <si>
    <t>0.000113</t>
  </si>
  <si>
    <t>0.00414</t>
  </si>
  <si>
    <t>IVH</t>
  </si>
  <si>
    <t>0.00394</t>
  </si>
  <si>
    <t>0.000163</t>
  </si>
  <si>
    <t>MidlineShift</t>
  </si>
  <si>
    <t>0.00015</t>
  </si>
  <si>
    <t>8.45e-07</t>
  </si>
  <si>
    <t>basal_cistern_compression</t>
  </si>
  <si>
    <t>7.15e-07</t>
  </si>
  <si>
    <t>JSON</t>
  </si>
  <si>
    <t>{"formula":"GOSE_3_Unfav ~ Age + InjuryHx.InjCause + arr_GCS_derived + arr_pp_prompt + head_neck_AIS + EDH + contusion + SAH + IVH + MidlineShift + basal_cistern_compression","penalty":"lasso","alpha":1,"lambda":0.025,"x_names":["Age","InjuryHx.InjCause1","InjuryHx.InjCause3","InjuryHx.InjCause88","arr_GCS_derived","arr_pp_promptbilateral absence","head_neck_AIS4","head_neck_AIS5","EDHpresent","contusionpresent","SAHpresent","IVHpresent","MidlineShiftpresent","basal_cistern_compressionpresent"],"train_test":false,"test_prop":{},"split_seed":{},"standardize":true,"threshold":0.5,"family":"binomial","link":"logit"}</t>
  </si>
  <si>
    <t>OR (95% CI)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</si>
</sst>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864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</row>
    <row r="10" spans="1:2" x14ac:dyDescent="0.3">
      <c r="A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14</v>
      </c>
    </row>
    <row r="14" spans="1:2" x14ac:dyDescent="0.3">
      <c r="A14" t="s">
        <v>22</v>
      </c>
    </row>
    <row r="15" spans="1:2" x14ac:dyDescent="0.3">
      <c r="A15" t="s">
        <v>23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ColWidth="11.5546875" defaultRowHeight="14.4" x14ac:dyDescent="0.3"/>
  <sheetData>
    <row r="1" spans="1:3" x14ac:dyDescent="0.3">
      <c r="A1" t="s">
        <v>24</v>
      </c>
      <c r="B1" t="s">
        <v>25</v>
      </c>
      <c r="C1" t="s">
        <v>26</v>
      </c>
    </row>
    <row r="2" spans="1:3" x14ac:dyDescent="0.3">
      <c r="A2" t="s">
        <v>27</v>
      </c>
      <c r="B2">
        <v>2310</v>
      </c>
      <c r="C2">
        <v>963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2" x14ac:dyDescent="0.3">
      <c r="A1" t="s">
        <v>28</v>
      </c>
      <c r="B1" t="s">
        <v>1</v>
      </c>
    </row>
    <row r="2" spans="1:2" x14ac:dyDescent="0.3">
      <c r="A2" t="s">
        <v>29</v>
      </c>
      <c r="B2">
        <v>0.89829999999999999</v>
      </c>
    </row>
    <row r="3" spans="1:2" x14ac:dyDescent="0.3">
      <c r="A3" t="s">
        <v>30</v>
      </c>
      <c r="B3">
        <v>0.82250000000000001</v>
      </c>
    </row>
    <row r="4" spans="1:2" x14ac:dyDescent="0.3">
      <c r="A4" t="s">
        <v>31</v>
      </c>
      <c r="B4">
        <v>0.73619999999999997</v>
      </c>
    </row>
    <row r="5" spans="1:2" x14ac:dyDescent="0.3">
      <c r="A5" t="s">
        <v>32</v>
      </c>
      <c r="B5">
        <v>0.81969999999999998</v>
      </c>
    </row>
    <row r="6" spans="1:2" x14ac:dyDescent="0.3">
      <c r="A6" t="s">
        <v>33</v>
      </c>
      <c r="B6">
        <v>0.77569999999999995</v>
      </c>
    </row>
    <row r="7" spans="1:2" x14ac:dyDescent="0.3">
      <c r="A7" t="s">
        <v>34</v>
      </c>
      <c r="B7">
        <v>0.39979999999999999</v>
      </c>
    </row>
    <row r="8" spans="1:2" x14ac:dyDescent="0.3">
      <c r="A8" t="s">
        <v>35</v>
      </c>
      <c r="B8">
        <v>1907.4770000000001</v>
      </c>
    </row>
    <row r="9" spans="1:2" x14ac:dyDescent="0.3">
      <c r="A9" t="s">
        <v>36</v>
      </c>
      <c r="B9">
        <v>0.12790000000000001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7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 x14ac:dyDescent="0.3">
      <c r="A2" t="s">
        <v>44</v>
      </c>
      <c r="B2">
        <v>-2.4826166596736002E-9</v>
      </c>
      <c r="C2">
        <v>5.2868989407326102E-2</v>
      </c>
      <c r="D2">
        <v>-4.69578989026331E-8</v>
      </c>
      <c r="E2">
        <v>0.99999996253301704</v>
      </c>
      <c r="F2">
        <v>-0.103623221720976</v>
      </c>
      <c r="G2">
        <v>0.103623216755742</v>
      </c>
    </row>
    <row r="3" spans="1:7" x14ac:dyDescent="0.3">
      <c r="A3" t="s">
        <v>45</v>
      </c>
      <c r="B3">
        <v>1.34919105959365</v>
      </c>
      <c r="C3">
        <v>5.26630786629982E-2</v>
      </c>
      <c r="D3">
        <v>25.619297121374199</v>
      </c>
      <c r="E3">
        <v>9.2997819395629099E-145</v>
      </c>
      <c r="F3">
        <v>1.24597142541418</v>
      </c>
      <c r="G3">
        <v>1.45241069377313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49</v>
      </c>
      <c r="B2" t="s">
        <v>50</v>
      </c>
      <c r="C2">
        <v>-0.93508853985346496</v>
      </c>
    </row>
    <row r="3" spans="1:3" x14ac:dyDescent="0.3">
      <c r="A3" t="s">
        <v>49</v>
      </c>
      <c r="B3" t="s">
        <v>51</v>
      </c>
      <c r="C3">
        <v>2.042318465252E-2</v>
      </c>
    </row>
    <row r="4" spans="1:3" x14ac:dyDescent="0.3">
      <c r="A4" t="s">
        <v>49</v>
      </c>
      <c r="B4" t="s">
        <v>52</v>
      </c>
      <c r="C4">
        <v>0</v>
      </c>
    </row>
    <row r="5" spans="1:3" x14ac:dyDescent="0.3">
      <c r="A5" t="s">
        <v>49</v>
      </c>
      <c r="B5" t="s">
        <v>53</v>
      </c>
      <c r="C5">
        <v>0</v>
      </c>
    </row>
    <row r="6" spans="1:3" x14ac:dyDescent="0.3">
      <c r="A6" t="s">
        <v>49</v>
      </c>
      <c r="B6" t="s">
        <v>54</v>
      </c>
      <c r="C6">
        <v>0</v>
      </c>
    </row>
    <row r="7" spans="1:3" x14ac:dyDescent="0.3">
      <c r="A7" t="s">
        <v>49</v>
      </c>
      <c r="B7" t="s">
        <v>55</v>
      </c>
      <c r="C7">
        <v>-0.15917563473968499</v>
      </c>
    </row>
    <row r="8" spans="1:3" x14ac:dyDescent="0.3">
      <c r="A8" t="s">
        <v>49</v>
      </c>
      <c r="B8" t="s">
        <v>56</v>
      </c>
      <c r="C8">
        <v>1.1036134036490799</v>
      </c>
    </row>
    <row r="9" spans="1:3" x14ac:dyDescent="0.3">
      <c r="A9" t="s">
        <v>49</v>
      </c>
      <c r="B9" t="s">
        <v>57</v>
      </c>
      <c r="C9">
        <v>4.2857918042535099E-3</v>
      </c>
    </row>
    <row r="10" spans="1:3" x14ac:dyDescent="0.3">
      <c r="A10" t="s">
        <v>49</v>
      </c>
      <c r="B10" t="s">
        <v>58</v>
      </c>
      <c r="C10">
        <v>0.89354197313005301</v>
      </c>
    </row>
    <row r="11" spans="1:3" x14ac:dyDescent="0.3">
      <c r="A11" t="s">
        <v>49</v>
      </c>
      <c r="B11" t="s">
        <v>59</v>
      </c>
      <c r="C11">
        <v>-0.30101630696138298</v>
      </c>
    </row>
    <row r="12" spans="1:3" x14ac:dyDescent="0.3">
      <c r="A12" t="s">
        <v>49</v>
      </c>
      <c r="B12" t="s">
        <v>60</v>
      </c>
      <c r="C12">
        <v>0.153443254407573</v>
      </c>
    </row>
    <row r="13" spans="1:3" x14ac:dyDescent="0.3">
      <c r="A13" t="s">
        <v>49</v>
      </c>
      <c r="B13" t="s">
        <v>61</v>
      </c>
      <c r="C13">
        <v>0.32947553792177098</v>
      </c>
    </row>
    <row r="14" spans="1:3" x14ac:dyDescent="0.3">
      <c r="A14" t="s">
        <v>49</v>
      </c>
      <c r="B14" t="s">
        <v>62</v>
      </c>
      <c r="C14">
        <v>0.25317242815989399</v>
      </c>
    </row>
    <row r="15" spans="1:3" x14ac:dyDescent="0.3">
      <c r="A15" t="s">
        <v>49</v>
      </c>
      <c r="B15" t="s">
        <v>63</v>
      </c>
      <c r="C15">
        <v>0.415859786818503</v>
      </c>
    </row>
    <row r="16" spans="1:3" x14ac:dyDescent="0.3">
      <c r="A16" t="s">
        <v>49</v>
      </c>
      <c r="B16" t="s">
        <v>64</v>
      </c>
      <c r="C16">
        <v>0.58674053632579803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5"/>
  <sheetViews>
    <sheetView tabSelected="1" workbookViewId="0">
      <pane xSplit="1" topLeftCell="I1" activePane="topRight" state="frozen"/>
      <selection pane="topRight" activeCell="R14" sqref="R14"/>
    </sheetView>
  </sheetViews>
  <sheetFormatPr defaultColWidth="11.5546875" defaultRowHeight="14.4" x14ac:dyDescent="0.3"/>
  <sheetData>
    <row r="1" spans="1:18" x14ac:dyDescent="0.3">
      <c r="A1" t="s">
        <v>65</v>
      </c>
      <c r="B1" t="s">
        <v>66</v>
      </c>
      <c r="C1" t="s">
        <v>67</v>
      </c>
      <c r="D1" t="s">
        <v>68</v>
      </c>
      <c r="E1" t="s">
        <v>41</v>
      </c>
      <c r="F1" t="s">
        <v>69</v>
      </c>
      <c r="G1" t="s">
        <v>70</v>
      </c>
      <c r="H1" t="s">
        <v>42</v>
      </c>
      <c r="I1" t="s">
        <v>43</v>
      </c>
      <c r="J1" t="s">
        <v>110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3">
      <c r="A2" t="s">
        <v>51</v>
      </c>
      <c r="B2">
        <v>3.1435972029942402E-2</v>
      </c>
      <c r="C2">
        <v>3.8836989635883099E-3</v>
      </c>
      <c r="D2">
        <v>8.0943379815662695</v>
      </c>
      <c r="E2">
        <v>5.7576620150827403E-16</v>
      </c>
      <c r="F2" t="s">
        <v>79</v>
      </c>
      <c r="G2">
        <v>1.03193530075781</v>
      </c>
      <c r="H2">
        <v>1.02410997884016</v>
      </c>
      <c r="I2">
        <v>1.0398204167057801</v>
      </c>
      <c r="J2" t="str">
        <f>_xlfn.CONCAT(ROUND(G2,3), " (", ROUND(H2,3), "-", ROUND(I2,3), ")")</f>
        <v>1.032 (1.024-1.04)</v>
      </c>
      <c r="K2" t="s">
        <v>51</v>
      </c>
      <c r="L2">
        <v>1.17924682729594</v>
      </c>
      <c r="M2">
        <v>1.17924682729594</v>
      </c>
      <c r="N2">
        <v>1.17924682729594</v>
      </c>
      <c r="O2">
        <v>69.824504271486802</v>
      </c>
      <c r="P2">
        <v>1</v>
      </c>
      <c r="Q2">
        <v>6.4822572931990503E-17</v>
      </c>
      <c r="R2" t="s">
        <v>80</v>
      </c>
    </row>
    <row r="3" spans="1:18" x14ac:dyDescent="0.3">
      <c r="A3" t="s">
        <v>52</v>
      </c>
      <c r="B3">
        <v>2.8931362444736899E-2</v>
      </c>
      <c r="C3">
        <v>0.13295372076043099</v>
      </c>
      <c r="D3">
        <v>0.21760475960554901</v>
      </c>
      <c r="E3">
        <v>0.82773707572849697</v>
      </c>
      <c r="F3" t="s">
        <v>81</v>
      </c>
      <c r="G3">
        <v>1.02935393971245</v>
      </c>
      <c r="H3">
        <v>0.79321741258953404</v>
      </c>
      <c r="I3">
        <v>1.3357870318838301</v>
      </c>
      <c r="J3" t="str">
        <f t="shared" ref="J3:J15" si="0">_xlfn.CONCAT(ROUND(G3,2), " (", ROUND(H3,2), "-", ROUND(I3,2), ")")</f>
        <v>1.03 (0.79-1.34)</v>
      </c>
      <c r="K3" t="s">
        <v>82</v>
      </c>
      <c r="L3">
        <v>1.14116914412473</v>
      </c>
      <c r="M3">
        <v>1.21720741425052</v>
      </c>
      <c r="N3">
        <v>1.21720741425052</v>
      </c>
      <c r="O3">
        <v>9.5055332345098105</v>
      </c>
      <c r="P3">
        <v>3</v>
      </c>
      <c r="Q3">
        <v>2.3272568905246101E-2</v>
      </c>
      <c r="R3" t="s">
        <v>83</v>
      </c>
    </row>
    <row r="4" spans="1:18" x14ac:dyDescent="0.3">
      <c r="A4" t="s">
        <v>53</v>
      </c>
      <c r="B4">
        <v>-0.73700891917945499</v>
      </c>
      <c r="C4">
        <v>0.315316091552371</v>
      </c>
      <c r="D4">
        <v>-2.3373653896031699</v>
      </c>
      <c r="E4">
        <v>1.9420193153603001E-2</v>
      </c>
      <c r="F4" t="s">
        <v>84</v>
      </c>
      <c r="G4">
        <v>0.47854313819768002</v>
      </c>
      <c r="H4">
        <v>0.25793995373170497</v>
      </c>
      <c r="I4">
        <v>0.88781722956452602</v>
      </c>
      <c r="J4" t="str">
        <f t="shared" si="0"/>
        <v>0.48 (0.26-0.89)</v>
      </c>
      <c r="K4" t="s">
        <v>82</v>
      </c>
      <c r="L4">
        <v>1.14116914412473</v>
      </c>
      <c r="M4">
        <v>1.21720741425052</v>
      </c>
      <c r="N4">
        <v>1.12773700108896</v>
      </c>
      <c r="O4">
        <v>9.5055332345098105</v>
      </c>
      <c r="P4">
        <v>3</v>
      </c>
      <c r="Q4">
        <v>2.3272568905246101E-2</v>
      </c>
      <c r="R4" t="s">
        <v>83</v>
      </c>
    </row>
    <row r="5" spans="1:18" x14ac:dyDescent="0.3">
      <c r="A5" t="s">
        <v>54</v>
      </c>
      <c r="B5">
        <v>-0.45994240962828198</v>
      </c>
      <c r="C5">
        <v>0.25361594683002497</v>
      </c>
      <c r="D5">
        <v>-1.81353899617574</v>
      </c>
      <c r="E5">
        <v>6.9748729687004796E-2</v>
      </c>
      <c r="F5" t="s">
        <v>85</v>
      </c>
      <c r="G5">
        <v>0.63132000241362396</v>
      </c>
      <c r="H5">
        <v>0.38403189674071198</v>
      </c>
      <c r="I5">
        <v>1.0378433375721301</v>
      </c>
      <c r="J5" t="str">
        <f t="shared" si="0"/>
        <v>0.63 (0.38-1.04)</v>
      </c>
      <c r="K5" t="s">
        <v>82</v>
      </c>
      <c r="L5">
        <v>1.14116914412473</v>
      </c>
      <c r="M5">
        <v>1.21720741425052</v>
      </c>
      <c r="N5">
        <v>1.07856301703472</v>
      </c>
      <c r="O5">
        <v>9.5055332345098105</v>
      </c>
      <c r="P5">
        <v>3</v>
      </c>
      <c r="Q5">
        <v>2.3272568905246101E-2</v>
      </c>
      <c r="R5" t="s">
        <v>83</v>
      </c>
    </row>
    <row r="6" spans="1:18" x14ac:dyDescent="0.3">
      <c r="A6" t="s">
        <v>55</v>
      </c>
      <c r="B6">
        <v>-0.17465284900384501</v>
      </c>
      <c r="C6">
        <v>1.6991908270388899E-2</v>
      </c>
      <c r="D6">
        <v>-10.278589445318801</v>
      </c>
      <c r="E6">
        <v>8.8006127096330504E-25</v>
      </c>
      <c r="F6" t="s">
        <v>80</v>
      </c>
      <c r="G6">
        <v>0.83974848969913396</v>
      </c>
      <c r="H6">
        <v>0.81224197112641205</v>
      </c>
      <c r="I6">
        <v>0.86818651463435303</v>
      </c>
      <c r="J6" t="str">
        <f t="shared" si="0"/>
        <v>0.84 (0.81-0.87)</v>
      </c>
      <c r="K6" t="s">
        <v>55</v>
      </c>
      <c r="L6">
        <v>1.9407181071581601</v>
      </c>
      <c r="M6">
        <v>1.9407181071581601</v>
      </c>
      <c r="N6">
        <v>1.9407181071581601</v>
      </c>
      <c r="O6">
        <v>110.335122767236</v>
      </c>
      <c r="P6">
        <v>1</v>
      </c>
      <c r="Q6">
        <v>8.2749423827011901E-26</v>
      </c>
      <c r="R6" t="s">
        <v>80</v>
      </c>
    </row>
    <row r="7" spans="1:18" x14ac:dyDescent="0.3">
      <c r="A7" t="s">
        <v>56</v>
      </c>
      <c r="B7">
        <v>1.5482505139570399</v>
      </c>
      <c r="C7">
        <v>0.19850826834878599</v>
      </c>
      <c r="D7">
        <v>7.7994258215819396</v>
      </c>
      <c r="E7">
        <v>6.2189482434217301E-15</v>
      </c>
      <c r="F7" t="s">
        <v>86</v>
      </c>
      <c r="G7">
        <v>4.7032347372633101</v>
      </c>
      <c r="H7">
        <v>3.1873004608054201</v>
      </c>
      <c r="I7">
        <v>6.9401731232487904</v>
      </c>
      <c r="J7" t="str">
        <f t="shared" si="0"/>
        <v>4.7 (3.19-6.94)</v>
      </c>
      <c r="K7" t="s">
        <v>87</v>
      </c>
      <c r="L7">
        <v>1.5306894235102799</v>
      </c>
      <c r="M7">
        <v>1.5306894235102799</v>
      </c>
      <c r="N7">
        <v>1.5306894235102799</v>
      </c>
      <c r="O7">
        <v>69.230396001523602</v>
      </c>
      <c r="P7">
        <v>1</v>
      </c>
      <c r="Q7">
        <v>8.7607414123101101E-17</v>
      </c>
      <c r="R7" t="s">
        <v>80</v>
      </c>
    </row>
    <row r="8" spans="1:18" x14ac:dyDescent="0.3">
      <c r="A8" t="s">
        <v>57</v>
      </c>
      <c r="B8">
        <v>0.68310555796081496</v>
      </c>
      <c r="C8">
        <v>0.167760733423088</v>
      </c>
      <c r="D8">
        <v>4.0719037406568797</v>
      </c>
      <c r="E8">
        <v>4.6630450627569499E-5</v>
      </c>
      <c r="F8" t="s">
        <v>88</v>
      </c>
      <c r="G8">
        <v>1.98001725231882</v>
      </c>
      <c r="H8">
        <v>1.4251748678201099</v>
      </c>
      <c r="I8">
        <v>2.7508682674686402</v>
      </c>
      <c r="J8" t="str">
        <f t="shared" si="0"/>
        <v>1.98 (1.43-2.75)</v>
      </c>
      <c r="K8" t="s">
        <v>89</v>
      </c>
      <c r="L8">
        <v>1.86365135803471</v>
      </c>
      <c r="M8">
        <v>2.2623253568769002</v>
      </c>
      <c r="N8">
        <v>1.4649773591925099</v>
      </c>
      <c r="O8">
        <v>91.783816400617496</v>
      </c>
      <c r="P8">
        <v>2</v>
      </c>
      <c r="Q8">
        <v>1.1732687532367999E-20</v>
      </c>
      <c r="R8" t="s">
        <v>80</v>
      </c>
    </row>
    <row r="9" spans="1:18" x14ac:dyDescent="0.3">
      <c r="A9" t="s">
        <v>58</v>
      </c>
      <c r="B9">
        <v>1.6104425297843901</v>
      </c>
      <c r="C9">
        <v>0.173560794776279</v>
      </c>
      <c r="D9">
        <v>9.2788381838205698</v>
      </c>
      <c r="E9">
        <v>1.7133657375963801E-20</v>
      </c>
      <c r="F9" t="s">
        <v>80</v>
      </c>
      <c r="G9">
        <v>5.00502561073663</v>
      </c>
      <c r="H9">
        <v>3.5617905148078401</v>
      </c>
      <c r="I9">
        <v>7.0330585866813804</v>
      </c>
      <c r="J9" t="str">
        <f t="shared" si="0"/>
        <v>5.01 (3.56-7.03)</v>
      </c>
      <c r="K9" t="s">
        <v>89</v>
      </c>
      <c r="L9">
        <v>1.86365135803471</v>
      </c>
      <c r="M9">
        <v>2.2623253568769002</v>
      </c>
      <c r="N9">
        <v>2.2623253568769002</v>
      </c>
      <c r="O9">
        <v>91.783816400617496</v>
      </c>
      <c r="P9">
        <v>2</v>
      </c>
      <c r="Q9">
        <v>1.1732687532367999E-20</v>
      </c>
      <c r="R9" t="s">
        <v>80</v>
      </c>
    </row>
    <row r="10" spans="1:18" x14ac:dyDescent="0.3">
      <c r="A10" t="s">
        <v>59</v>
      </c>
      <c r="B10">
        <v>-0.80180400894144099</v>
      </c>
      <c r="C10">
        <v>0.14329726840873899</v>
      </c>
      <c r="D10">
        <v>-5.5953893458344597</v>
      </c>
      <c r="E10">
        <v>2.2012720846680899E-8</v>
      </c>
      <c r="F10" t="s">
        <v>90</v>
      </c>
      <c r="G10">
        <v>0.44851910136776402</v>
      </c>
      <c r="H10">
        <v>0.33869114789848798</v>
      </c>
      <c r="I10">
        <v>0.59396115174536801</v>
      </c>
      <c r="J10" t="str">
        <f t="shared" si="0"/>
        <v>0.45 (0.34-0.59)</v>
      </c>
      <c r="K10" t="s">
        <v>91</v>
      </c>
      <c r="L10">
        <v>1.13878098153588</v>
      </c>
      <c r="M10">
        <v>1.13878098153588</v>
      </c>
      <c r="N10">
        <v>1.13878098153588</v>
      </c>
      <c r="O10">
        <v>32.411472164303902</v>
      </c>
      <c r="P10">
        <v>1</v>
      </c>
      <c r="Q10">
        <v>1.24747841594164E-8</v>
      </c>
      <c r="R10" t="s">
        <v>92</v>
      </c>
    </row>
    <row r="11" spans="1:18" x14ac:dyDescent="0.3">
      <c r="A11" t="s">
        <v>60</v>
      </c>
      <c r="B11">
        <v>0.43668398776998002</v>
      </c>
      <c r="C11">
        <v>0.14640333268168099</v>
      </c>
      <c r="D11">
        <v>2.9827462242232201</v>
      </c>
      <c r="E11">
        <v>2.8567475835728899E-3</v>
      </c>
      <c r="F11" t="s">
        <v>93</v>
      </c>
      <c r="G11">
        <v>1.54756694969242</v>
      </c>
      <c r="H11">
        <v>1.1615246037175599</v>
      </c>
      <c r="I11">
        <v>2.0619136745920099</v>
      </c>
      <c r="J11" t="str">
        <f t="shared" si="0"/>
        <v>1.55 (1.16-2.06)</v>
      </c>
      <c r="K11" t="s">
        <v>94</v>
      </c>
      <c r="L11">
        <v>1.20366282134972</v>
      </c>
      <c r="M11">
        <v>1.20366282134972</v>
      </c>
      <c r="N11">
        <v>1.20366282134972</v>
      </c>
      <c r="O11">
        <v>8.9695000828226092</v>
      </c>
      <c r="P11">
        <v>1</v>
      </c>
      <c r="Q11">
        <v>2.7452370073203902E-3</v>
      </c>
      <c r="R11" t="s">
        <v>95</v>
      </c>
    </row>
    <row r="12" spans="1:18" x14ac:dyDescent="0.3">
      <c r="A12" t="s">
        <v>61</v>
      </c>
      <c r="B12">
        <v>0.57052033142621905</v>
      </c>
      <c r="C12">
        <v>0.14893676258284799</v>
      </c>
      <c r="D12">
        <v>3.83062127531382</v>
      </c>
      <c r="E12">
        <v>1.2782011477268401E-4</v>
      </c>
      <c r="F12" t="s">
        <v>96</v>
      </c>
      <c r="G12">
        <v>1.7691873757666201</v>
      </c>
      <c r="H12">
        <v>1.3212843774716401</v>
      </c>
      <c r="I12">
        <v>2.3689252850786402</v>
      </c>
      <c r="J12" t="str">
        <f t="shared" si="0"/>
        <v>1.77 (1.32-2.37)</v>
      </c>
      <c r="K12" t="s">
        <v>97</v>
      </c>
      <c r="L12">
        <v>1.2738361871544099</v>
      </c>
      <c r="M12">
        <v>1.2738361871544099</v>
      </c>
      <c r="N12">
        <v>1.2738361871544099</v>
      </c>
      <c r="O12">
        <v>14.9135934922706</v>
      </c>
      <c r="P12">
        <v>1</v>
      </c>
      <c r="Q12">
        <v>1.12549068349163E-4</v>
      </c>
      <c r="R12" t="s">
        <v>98</v>
      </c>
    </row>
    <row r="13" spans="1:18" x14ac:dyDescent="0.3">
      <c r="A13" t="s">
        <v>62</v>
      </c>
      <c r="B13">
        <v>0.49525518939722202</v>
      </c>
      <c r="C13">
        <v>0.172719771192101</v>
      </c>
      <c r="D13">
        <v>2.8673914166224401</v>
      </c>
      <c r="E13">
        <v>4.1387079689995804E-3</v>
      </c>
      <c r="F13" t="s">
        <v>99</v>
      </c>
      <c r="G13">
        <v>1.6409169302343201</v>
      </c>
      <c r="H13">
        <v>1.1696732518240101</v>
      </c>
      <c r="I13">
        <v>2.3020175657866</v>
      </c>
      <c r="J13" t="str">
        <f t="shared" si="0"/>
        <v>1.64 (1.17-2.3)</v>
      </c>
      <c r="K13" t="s">
        <v>100</v>
      </c>
      <c r="L13">
        <v>1.1260734461242601</v>
      </c>
      <c r="M13">
        <v>1.1260734461242601</v>
      </c>
      <c r="N13">
        <v>1.1260734461242601</v>
      </c>
      <c r="O13">
        <v>8.3127175235833892</v>
      </c>
      <c r="P13">
        <v>1</v>
      </c>
      <c r="Q13">
        <v>3.9368444628975902E-3</v>
      </c>
      <c r="R13" t="s">
        <v>101</v>
      </c>
    </row>
    <row r="14" spans="1:18" x14ac:dyDescent="0.3">
      <c r="A14" t="s">
        <v>63</v>
      </c>
      <c r="B14">
        <v>0.614525785022487</v>
      </c>
      <c r="C14">
        <v>0.16298533181578401</v>
      </c>
      <c r="D14">
        <v>3.7704361378793401</v>
      </c>
      <c r="E14">
        <v>1.62962501477485E-4</v>
      </c>
      <c r="F14" t="s">
        <v>102</v>
      </c>
      <c r="G14">
        <v>1.84877967263793</v>
      </c>
      <c r="H14">
        <v>1.3432264718884299</v>
      </c>
      <c r="I14">
        <v>2.5446090808156101</v>
      </c>
      <c r="J14" t="str">
        <f t="shared" si="0"/>
        <v>1.85 (1.34-2.54)</v>
      </c>
      <c r="K14" t="s">
        <v>103</v>
      </c>
      <c r="L14">
        <v>1.43602434111831</v>
      </c>
      <c r="M14">
        <v>1.43602434111831</v>
      </c>
      <c r="N14">
        <v>1.43602434111831</v>
      </c>
      <c r="O14">
        <v>14.3777567726627</v>
      </c>
      <c r="P14">
        <v>1</v>
      </c>
      <c r="Q14">
        <v>1.4955858216353699E-4</v>
      </c>
      <c r="R14" t="s">
        <v>104</v>
      </c>
    </row>
    <row r="15" spans="1:18" x14ac:dyDescent="0.3">
      <c r="A15" t="s">
        <v>64</v>
      </c>
      <c r="B15">
        <v>0.74151234555201895</v>
      </c>
      <c r="C15">
        <v>0.15057301721608601</v>
      </c>
      <c r="D15">
        <v>4.9246030880013398</v>
      </c>
      <c r="E15">
        <v>8.4531756591368296E-7</v>
      </c>
      <c r="F15" t="s">
        <v>105</v>
      </c>
      <c r="G15">
        <v>2.0991076913561999</v>
      </c>
      <c r="H15">
        <v>1.56265958499286</v>
      </c>
      <c r="I15">
        <v>2.8197139941587901</v>
      </c>
      <c r="J15" t="str">
        <f t="shared" si="0"/>
        <v>2.1 (1.56-2.82)</v>
      </c>
      <c r="K15" t="s">
        <v>106</v>
      </c>
      <c r="L15">
        <v>1.2351020683015701</v>
      </c>
      <c r="M15">
        <v>1.2351020683015701</v>
      </c>
      <c r="N15">
        <v>1.2351020683015701</v>
      </c>
      <c r="O15">
        <v>24.574891885871899</v>
      </c>
      <c r="P15">
        <v>1</v>
      </c>
      <c r="Q15">
        <v>7.1477016867907596E-7</v>
      </c>
      <c r="R15" t="s">
        <v>107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1.5546875" defaultRowHeight="14.4" x14ac:dyDescent="0.3"/>
  <sheetData/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ColWidth="11.5546875" defaultRowHeight="14.4" x14ac:dyDescent="0.3"/>
  <sheetData>
    <row r="1" spans="1:1" x14ac:dyDescent="0.3">
      <c r="A1" t="s">
        <v>108</v>
      </c>
    </row>
    <row r="2" spans="1:1" x14ac:dyDescent="0.3">
      <c r="A2" t="s">
        <v>109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Model_Info</vt:lpstr>
      <vt:lpstr>Split_Info</vt:lpstr>
      <vt:lpstr>Train_Metrics</vt:lpstr>
      <vt:lpstr>Calibration_Stats_Train</vt:lpstr>
      <vt:lpstr>Coefficients</vt:lpstr>
      <vt:lpstr>Variable_Summary</vt:lpstr>
      <vt:lpstr>Calibration_Plot_Train</vt:lpstr>
      <vt:lpstr>Specs_JSON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piggypiggy00700</dc:creator>
  <cp:lastModifiedBy>승훈 전</cp:lastModifiedBy>
  <dcterms:created xsi:type="dcterms:W3CDTF">2025-10-13T04:05:39Z</dcterms:created>
  <dcterms:modified xsi:type="dcterms:W3CDTF">2025-10-22T08:04:36Z</dcterms:modified>
</cp:coreProperties>
</file>